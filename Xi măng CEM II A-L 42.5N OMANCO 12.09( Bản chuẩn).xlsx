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5\Chot lo XK\Lo Sling Omanco T9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definedNames>
    <definedName name="_xlnm.Print_Titles" localSheetId="0">Sheet1!$13:$14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J15" i="1"/>
  <c r="G15" i="1"/>
  <c r="F11" i="1"/>
  <c r="E11" i="1"/>
  <c r="C11" i="1"/>
  <c r="M15" i="1"/>
  <c r="N17" i="1" l="1"/>
  <c r="N15" i="1"/>
  <c r="J11" i="1"/>
  <c r="J16" i="1" l="1"/>
  <c r="K16" i="1"/>
  <c r="L16" i="1"/>
  <c r="M16" i="1" s="1"/>
  <c r="J17" i="1"/>
  <c r="K17" i="1"/>
  <c r="L17" i="1"/>
  <c r="M17" i="1"/>
  <c r="J18" i="1"/>
  <c r="K18" i="1"/>
  <c r="L18" i="1"/>
  <c r="M18" i="1"/>
  <c r="J19" i="1"/>
  <c r="K19" i="1"/>
  <c r="L19" i="1"/>
  <c r="M19" i="1" s="1"/>
  <c r="J20" i="1"/>
  <c r="K20" i="1"/>
  <c r="L20" i="1"/>
  <c r="M20" i="1"/>
  <c r="J21" i="1"/>
  <c r="K21" i="1"/>
  <c r="L21" i="1"/>
  <c r="M21" i="1"/>
  <c r="J22" i="1"/>
  <c r="K22" i="1"/>
  <c r="L22" i="1"/>
  <c r="M22" i="1" s="1"/>
  <c r="J23" i="1"/>
  <c r="K23" i="1"/>
  <c r="L23" i="1"/>
  <c r="M23" i="1"/>
  <c r="J24" i="1"/>
  <c r="K24" i="1"/>
  <c r="L24" i="1"/>
  <c r="M24" i="1" s="1"/>
  <c r="J25" i="1"/>
  <c r="K25" i="1"/>
  <c r="L25" i="1"/>
  <c r="M25" i="1" s="1"/>
  <c r="J26" i="1"/>
  <c r="K26" i="1"/>
  <c r="L26" i="1"/>
  <c r="M26" i="1"/>
  <c r="J27" i="1"/>
  <c r="K27" i="1"/>
  <c r="L27" i="1"/>
  <c r="M27" i="1"/>
  <c r="J28" i="1"/>
  <c r="K28" i="1"/>
  <c r="L28" i="1"/>
  <c r="M28" i="1" s="1"/>
  <c r="J29" i="1"/>
  <c r="K29" i="1"/>
  <c r="L29" i="1"/>
  <c r="M29" i="1"/>
  <c r="J30" i="1"/>
  <c r="K30" i="1"/>
  <c r="L30" i="1"/>
  <c r="M30" i="1" s="1"/>
  <c r="J31" i="1"/>
  <c r="K31" i="1"/>
  <c r="L31" i="1"/>
  <c r="M31" i="1" s="1"/>
  <c r="J32" i="1"/>
  <c r="K32" i="1"/>
  <c r="L32" i="1"/>
  <c r="M32" i="1"/>
  <c r="J33" i="1"/>
  <c r="K33" i="1"/>
  <c r="L33" i="1"/>
  <c r="M33" i="1" s="1"/>
  <c r="J34" i="1"/>
  <c r="K34" i="1"/>
  <c r="L34" i="1"/>
  <c r="M34" i="1" s="1"/>
  <c r="J35" i="1"/>
  <c r="K35" i="1"/>
  <c r="L35" i="1"/>
  <c r="M35" i="1"/>
  <c r="J36" i="1"/>
  <c r="K36" i="1"/>
  <c r="L36" i="1"/>
  <c r="M36" i="1"/>
  <c r="J37" i="1"/>
  <c r="K37" i="1"/>
  <c r="L37" i="1"/>
  <c r="M37" i="1" s="1"/>
  <c r="J38" i="1"/>
  <c r="K38" i="1"/>
  <c r="L38" i="1"/>
  <c r="M38" i="1"/>
  <c r="J39" i="1"/>
  <c r="K39" i="1"/>
  <c r="L39" i="1"/>
  <c r="M39" i="1" s="1"/>
  <c r="J40" i="1"/>
  <c r="K40" i="1"/>
  <c r="L40" i="1"/>
  <c r="M40" i="1" s="1"/>
  <c r="J41" i="1"/>
  <c r="K41" i="1"/>
  <c r="L41" i="1"/>
  <c r="M41" i="1"/>
  <c r="J42" i="1"/>
  <c r="K42" i="1"/>
  <c r="L42" i="1"/>
  <c r="M42" i="1"/>
  <c r="J43" i="1"/>
  <c r="K43" i="1"/>
  <c r="L43" i="1"/>
  <c r="M43" i="1" s="1"/>
  <c r="J44" i="1"/>
  <c r="K44" i="1"/>
  <c r="L44" i="1"/>
  <c r="M44" i="1"/>
  <c r="J45" i="1"/>
  <c r="K45" i="1"/>
  <c r="L45" i="1"/>
  <c r="M45" i="1"/>
  <c r="J46" i="1"/>
  <c r="K46" i="1"/>
  <c r="L46" i="1"/>
  <c r="M46" i="1" s="1"/>
  <c r="J47" i="1"/>
  <c r="K47" i="1"/>
  <c r="L47" i="1"/>
  <c r="M47" i="1"/>
  <c r="J48" i="1"/>
  <c r="K48" i="1"/>
  <c r="L48" i="1"/>
  <c r="M48" i="1" s="1"/>
  <c r="J49" i="1"/>
  <c r="K49" i="1"/>
  <c r="L49" i="1"/>
  <c r="M49" i="1" s="1"/>
  <c r="J50" i="1"/>
  <c r="K50" i="1"/>
  <c r="L50" i="1"/>
  <c r="M50" i="1"/>
  <c r="J51" i="1"/>
  <c r="K51" i="1"/>
  <c r="L51" i="1"/>
  <c r="M51" i="1"/>
  <c r="J52" i="1"/>
  <c r="K52" i="1"/>
  <c r="L52" i="1"/>
  <c r="M52" i="1" s="1"/>
  <c r="J53" i="1"/>
  <c r="K53" i="1"/>
  <c r="L53" i="1"/>
  <c r="M53" i="1"/>
  <c r="J54" i="1"/>
  <c r="K54" i="1"/>
  <c r="L54" i="1"/>
  <c r="M54" i="1"/>
  <c r="J55" i="1"/>
  <c r="K55" i="1"/>
  <c r="L55" i="1"/>
  <c r="M55" i="1" s="1"/>
  <c r="J56" i="1"/>
  <c r="K56" i="1"/>
  <c r="L56" i="1"/>
  <c r="M56" i="1"/>
  <c r="J57" i="1"/>
  <c r="K57" i="1"/>
  <c r="L57" i="1"/>
  <c r="M57" i="1"/>
  <c r="J58" i="1"/>
  <c r="K58" i="1"/>
  <c r="L58" i="1"/>
  <c r="M58" i="1" s="1"/>
  <c r="J59" i="1"/>
  <c r="K59" i="1"/>
  <c r="L59" i="1"/>
  <c r="M59" i="1"/>
  <c r="J60" i="1"/>
  <c r="K60" i="1"/>
  <c r="L60" i="1"/>
  <c r="M60" i="1"/>
  <c r="J61" i="1"/>
  <c r="K61" i="1"/>
  <c r="L61" i="1"/>
  <c r="M61" i="1" s="1"/>
  <c r="J62" i="1"/>
  <c r="K62" i="1"/>
  <c r="L62" i="1"/>
  <c r="M62" i="1"/>
  <c r="J63" i="1"/>
  <c r="K63" i="1"/>
  <c r="L63" i="1"/>
  <c r="M63" i="1"/>
  <c r="J64" i="1"/>
  <c r="K64" i="1"/>
  <c r="L64" i="1"/>
  <c r="M64" i="1" s="1"/>
  <c r="J65" i="1"/>
  <c r="K65" i="1"/>
  <c r="L65" i="1"/>
  <c r="M65" i="1"/>
  <c r="J66" i="1"/>
  <c r="K66" i="1"/>
  <c r="L66" i="1"/>
  <c r="M66" i="1" s="1"/>
  <c r="J67" i="1"/>
  <c r="K67" i="1"/>
  <c r="L67" i="1"/>
  <c r="M67" i="1" s="1"/>
  <c r="J68" i="1"/>
  <c r="K68" i="1"/>
  <c r="L68" i="1"/>
  <c r="M68" i="1"/>
  <c r="J69" i="1"/>
  <c r="K69" i="1"/>
  <c r="L69" i="1"/>
  <c r="M69" i="1" s="1"/>
  <c r="J70" i="1"/>
  <c r="K70" i="1"/>
  <c r="L70" i="1"/>
  <c r="M70" i="1" s="1"/>
  <c r="J71" i="1"/>
  <c r="K71" i="1"/>
  <c r="L71" i="1"/>
  <c r="M71" i="1"/>
  <c r="J72" i="1"/>
  <c r="K72" i="1"/>
  <c r="L72" i="1"/>
  <c r="M72" i="1"/>
  <c r="J73" i="1"/>
  <c r="K73" i="1"/>
  <c r="L73" i="1"/>
  <c r="M73" i="1" s="1"/>
  <c r="J74" i="1"/>
  <c r="K74" i="1"/>
  <c r="L74" i="1"/>
  <c r="M74" i="1"/>
  <c r="J75" i="1"/>
  <c r="K75" i="1"/>
  <c r="L75" i="1"/>
  <c r="M75" i="1" s="1"/>
  <c r="J76" i="1"/>
  <c r="K76" i="1"/>
  <c r="L76" i="1"/>
  <c r="M76" i="1" s="1"/>
  <c r="J77" i="1"/>
  <c r="K77" i="1"/>
  <c r="L77" i="1"/>
  <c r="M77" i="1"/>
  <c r="J78" i="1"/>
  <c r="K78" i="1"/>
  <c r="L78" i="1"/>
  <c r="M78" i="1"/>
  <c r="J79" i="1"/>
  <c r="K79" i="1"/>
  <c r="L79" i="1"/>
  <c r="M79" i="1" s="1"/>
  <c r="J80" i="1"/>
  <c r="K80" i="1"/>
  <c r="L80" i="1"/>
  <c r="M80" i="1"/>
  <c r="J81" i="1"/>
  <c r="K81" i="1"/>
  <c r="L81" i="1"/>
  <c r="M81" i="1" s="1"/>
  <c r="J82" i="1"/>
  <c r="K82" i="1"/>
  <c r="L82" i="1"/>
  <c r="M82" i="1" s="1"/>
  <c r="J83" i="1"/>
  <c r="K83" i="1"/>
  <c r="L83" i="1"/>
  <c r="M83" i="1"/>
  <c r="J84" i="1"/>
  <c r="K84" i="1"/>
  <c r="L84" i="1"/>
  <c r="M84" i="1" s="1"/>
  <c r="J85" i="1"/>
  <c r="K85" i="1"/>
  <c r="L85" i="1"/>
  <c r="M85" i="1" s="1"/>
  <c r="J86" i="1"/>
  <c r="K86" i="1"/>
  <c r="L86" i="1"/>
  <c r="M86" i="1"/>
  <c r="J87" i="1"/>
  <c r="K87" i="1"/>
  <c r="L87" i="1"/>
  <c r="M87" i="1"/>
  <c r="J88" i="1"/>
  <c r="K88" i="1"/>
  <c r="L88" i="1"/>
  <c r="M88" i="1" s="1"/>
  <c r="J89" i="1"/>
  <c r="K89" i="1"/>
  <c r="L89" i="1"/>
  <c r="M89" i="1"/>
  <c r="J90" i="1"/>
  <c r="K90" i="1"/>
  <c r="L90" i="1"/>
  <c r="M90" i="1"/>
  <c r="J91" i="1"/>
  <c r="K91" i="1"/>
  <c r="L91" i="1"/>
  <c r="M91" i="1" s="1"/>
  <c r="J92" i="1"/>
  <c r="K92" i="1"/>
  <c r="L92" i="1"/>
  <c r="M92" i="1"/>
  <c r="J93" i="1"/>
  <c r="K93" i="1"/>
  <c r="L93" i="1"/>
  <c r="M93" i="1"/>
  <c r="J94" i="1"/>
  <c r="K94" i="1"/>
  <c r="L94" i="1"/>
  <c r="M94" i="1" s="1"/>
  <c r="J95" i="1"/>
  <c r="K95" i="1"/>
  <c r="L95" i="1"/>
  <c r="M95" i="1"/>
  <c r="J96" i="1"/>
  <c r="K96" i="1"/>
  <c r="L96" i="1"/>
  <c r="M96" i="1"/>
  <c r="J97" i="1"/>
  <c r="K97" i="1"/>
  <c r="L97" i="1"/>
  <c r="M97" i="1" s="1"/>
  <c r="J98" i="1"/>
  <c r="K98" i="1"/>
  <c r="L98" i="1"/>
  <c r="M98" i="1"/>
  <c r="J99" i="1"/>
  <c r="K99" i="1"/>
  <c r="L99" i="1"/>
  <c r="M99" i="1"/>
  <c r="J100" i="1"/>
  <c r="K100" i="1"/>
  <c r="L100" i="1"/>
  <c r="M100" i="1" s="1"/>
  <c r="J101" i="1"/>
  <c r="K101" i="1"/>
  <c r="L101" i="1"/>
  <c r="M101" i="1"/>
  <c r="J102" i="1"/>
  <c r="K102" i="1"/>
  <c r="L102" i="1"/>
  <c r="M102" i="1" s="1"/>
  <c r="J103" i="1"/>
  <c r="K103" i="1"/>
  <c r="L103" i="1"/>
  <c r="M103" i="1" s="1"/>
  <c r="J104" i="1"/>
  <c r="K104" i="1"/>
  <c r="L104" i="1"/>
  <c r="M104" i="1"/>
  <c r="J105" i="1"/>
  <c r="K105" i="1"/>
  <c r="L105" i="1"/>
  <c r="M105" i="1" s="1"/>
  <c r="J106" i="1"/>
  <c r="K106" i="1"/>
  <c r="L106" i="1"/>
  <c r="M106" i="1" s="1"/>
  <c r="J107" i="1"/>
  <c r="K107" i="1"/>
  <c r="L107" i="1"/>
  <c r="M107" i="1"/>
  <c r="J108" i="1"/>
  <c r="K108" i="1"/>
  <c r="L108" i="1"/>
  <c r="M108" i="1"/>
  <c r="J109" i="1"/>
  <c r="K109" i="1"/>
  <c r="L109" i="1"/>
  <c r="M109" i="1" s="1"/>
  <c r="J110" i="1"/>
  <c r="K110" i="1"/>
  <c r="L110" i="1"/>
  <c r="M110" i="1"/>
  <c r="J111" i="1"/>
  <c r="K111" i="1"/>
  <c r="L111" i="1"/>
  <c r="M111" i="1" s="1"/>
  <c r="J112" i="1"/>
  <c r="K112" i="1"/>
  <c r="L112" i="1"/>
  <c r="M112" i="1" s="1"/>
  <c r="J113" i="1"/>
  <c r="K113" i="1"/>
  <c r="L113" i="1"/>
  <c r="M113" i="1"/>
  <c r="J114" i="1"/>
  <c r="K114" i="1"/>
  <c r="L114" i="1"/>
  <c r="M114" i="1"/>
  <c r="J115" i="1"/>
  <c r="K115" i="1"/>
  <c r="L115" i="1"/>
  <c r="M115" i="1" s="1"/>
  <c r="J116" i="1"/>
  <c r="K116" i="1"/>
  <c r="L116" i="1"/>
  <c r="M116" i="1"/>
  <c r="J117" i="1"/>
  <c r="K117" i="1"/>
  <c r="L117" i="1"/>
  <c r="M117" i="1" s="1"/>
  <c r="J118" i="1"/>
  <c r="K118" i="1"/>
  <c r="L118" i="1"/>
  <c r="M118" i="1" s="1"/>
  <c r="J119" i="1"/>
  <c r="K119" i="1"/>
  <c r="L119" i="1"/>
  <c r="M119" i="1"/>
  <c r="J120" i="1"/>
  <c r="K120" i="1"/>
  <c r="L120" i="1"/>
  <c r="M120" i="1" s="1"/>
  <c r="J121" i="1"/>
  <c r="K121" i="1"/>
  <c r="L121" i="1"/>
  <c r="M121" i="1" s="1"/>
  <c r="J122" i="1"/>
  <c r="K122" i="1"/>
  <c r="L122" i="1"/>
  <c r="M122" i="1"/>
  <c r="J123" i="1"/>
  <c r="K123" i="1"/>
  <c r="L123" i="1"/>
  <c r="M123" i="1"/>
  <c r="J124" i="1"/>
  <c r="K124" i="1"/>
  <c r="L124" i="1"/>
  <c r="M124" i="1" s="1"/>
  <c r="J125" i="1"/>
  <c r="K125" i="1"/>
  <c r="L125" i="1"/>
  <c r="M125" i="1"/>
  <c r="J126" i="1"/>
  <c r="K126" i="1"/>
  <c r="L126" i="1"/>
  <c r="M126" i="1"/>
  <c r="J127" i="1"/>
  <c r="K127" i="1"/>
  <c r="L127" i="1"/>
  <c r="M127" i="1" s="1"/>
  <c r="J128" i="1"/>
  <c r="K128" i="1"/>
  <c r="L128" i="1"/>
  <c r="M128" i="1"/>
  <c r="J129" i="1"/>
  <c r="K129" i="1"/>
  <c r="L129" i="1"/>
  <c r="M129" i="1"/>
  <c r="J130" i="1"/>
  <c r="K130" i="1"/>
  <c r="L130" i="1"/>
  <c r="M130" i="1" s="1"/>
  <c r="J131" i="1"/>
  <c r="K131" i="1"/>
  <c r="L131" i="1"/>
  <c r="M131" i="1"/>
  <c r="J132" i="1"/>
  <c r="K132" i="1"/>
  <c r="L132" i="1"/>
  <c r="M132" i="1"/>
  <c r="J133" i="1"/>
  <c r="K133" i="1"/>
  <c r="L133" i="1"/>
  <c r="M133" i="1" s="1"/>
  <c r="J134" i="1"/>
  <c r="K134" i="1"/>
  <c r="L134" i="1"/>
  <c r="M134" i="1"/>
  <c r="J135" i="1"/>
  <c r="K135" i="1"/>
  <c r="L135" i="1"/>
  <c r="M135" i="1"/>
  <c r="J136" i="1"/>
  <c r="K136" i="1"/>
  <c r="L136" i="1"/>
  <c r="M136" i="1" s="1"/>
  <c r="J137" i="1"/>
  <c r="K137" i="1"/>
  <c r="L137" i="1"/>
  <c r="M137" i="1"/>
  <c r="J138" i="1"/>
  <c r="K138" i="1"/>
  <c r="L138" i="1"/>
  <c r="M138" i="1" s="1"/>
  <c r="J139" i="1"/>
  <c r="K139" i="1"/>
  <c r="L139" i="1"/>
  <c r="M139" i="1" s="1"/>
  <c r="J140" i="1"/>
  <c r="K140" i="1"/>
  <c r="L140" i="1"/>
  <c r="M140" i="1"/>
  <c r="J141" i="1"/>
  <c r="K141" i="1"/>
  <c r="L141" i="1"/>
  <c r="M141" i="1" s="1"/>
  <c r="J142" i="1"/>
  <c r="K142" i="1"/>
  <c r="L142" i="1"/>
  <c r="M142" i="1" s="1"/>
  <c r="J143" i="1"/>
  <c r="K143" i="1"/>
  <c r="L143" i="1"/>
  <c r="M143" i="1"/>
  <c r="J144" i="1"/>
  <c r="K144" i="1"/>
  <c r="L144" i="1"/>
  <c r="M144" i="1"/>
  <c r="J145" i="1"/>
  <c r="K145" i="1"/>
  <c r="L145" i="1"/>
  <c r="M145" i="1" s="1"/>
  <c r="J146" i="1"/>
  <c r="K146" i="1"/>
  <c r="L146" i="1"/>
  <c r="M146" i="1"/>
  <c r="J147" i="1"/>
  <c r="K147" i="1"/>
  <c r="L147" i="1"/>
  <c r="M147" i="1" s="1"/>
  <c r="J148" i="1"/>
  <c r="K148" i="1"/>
  <c r="L148" i="1"/>
  <c r="M148" i="1" s="1"/>
  <c r="J149" i="1"/>
  <c r="K149" i="1"/>
  <c r="L149" i="1"/>
  <c r="M149" i="1"/>
  <c r="J150" i="1"/>
  <c r="K150" i="1"/>
  <c r="L150" i="1"/>
  <c r="M150" i="1"/>
  <c r="J151" i="1"/>
  <c r="K151" i="1"/>
  <c r="L151" i="1"/>
  <c r="M151" i="1" s="1"/>
  <c r="J152" i="1"/>
  <c r="K152" i="1"/>
  <c r="L152" i="1"/>
  <c r="M152" i="1"/>
  <c r="J153" i="1"/>
  <c r="K153" i="1"/>
  <c r="L153" i="1"/>
  <c r="M153" i="1" s="1"/>
  <c r="J154" i="1"/>
  <c r="K154" i="1"/>
  <c r="L154" i="1"/>
  <c r="M154" i="1" s="1"/>
  <c r="J155" i="1"/>
  <c r="K155" i="1"/>
  <c r="L155" i="1"/>
  <c r="M155" i="1"/>
  <c r="J156" i="1"/>
  <c r="K156" i="1"/>
  <c r="L156" i="1"/>
  <c r="M156" i="1" s="1"/>
  <c r="J157" i="1"/>
  <c r="K157" i="1"/>
  <c r="L157" i="1"/>
  <c r="M157" i="1" s="1"/>
  <c r="J158" i="1"/>
  <c r="K158" i="1"/>
  <c r="L158" i="1"/>
  <c r="M158" i="1"/>
  <c r="J159" i="1"/>
  <c r="K159" i="1"/>
  <c r="L159" i="1"/>
  <c r="M159" i="1"/>
  <c r="J160" i="1"/>
  <c r="K160" i="1"/>
  <c r="L160" i="1"/>
  <c r="M160" i="1" s="1"/>
  <c r="J161" i="1"/>
  <c r="K161" i="1"/>
  <c r="L161" i="1"/>
  <c r="M161" i="1"/>
  <c r="J162" i="1"/>
  <c r="K162" i="1"/>
  <c r="L162" i="1"/>
  <c r="M162" i="1"/>
  <c r="J163" i="1"/>
  <c r="K163" i="1"/>
  <c r="L163" i="1"/>
  <c r="M163" i="1" s="1"/>
  <c r="J164" i="1"/>
  <c r="K164" i="1"/>
  <c r="L164" i="1"/>
  <c r="M164" i="1"/>
  <c r="J165" i="1"/>
  <c r="K165" i="1"/>
  <c r="L165" i="1"/>
  <c r="M165" i="1"/>
  <c r="J166" i="1"/>
  <c r="K166" i="1"/>
  <c r="L166" i="1"/>
  <c r="M166" i="1" s="1"/>
  <c r="J167" i="1"/>
  <c r="K167" i="1"/>
  <c r="L167" i="1"/>
  <c r="M167" i="1"/>
  <c r="J168" i="1"/>
  <c r="K168" i="1"/>
  <c r="L168" i="1"/>
  <c r="M168" i="1"/>
  <c r="J169" i="1"/>
  <c r="K169" i="1"/>
  <c r="L169" i="1"/>
  <c r="M169" i="1" s="1"/>
  <c r="J170" i="1"/>
  <c r="K170" i="1"/>
  <c r="L170" i="1"/>
  <c r="M170" i="1"/>
  <c r="J171" i="1"/>
  <c r="K171" i="1"/>
  <c r="L171" i="1"/>
  <c r="M171" i="1" s="1"/>
  <c r="J172" i="1"/>
  <c r="K172" i="1"/>
  <c r="L172" i="1"/>
  <c r="M172" i="1" s="1"/>
  <c r="J173" i="1"/>
  <c r="K173" i="1"/>
  <c r="L173" i="1"/>
  <c r="M173" i="1"/>
  <c r="J174" i="1"/>
  <c r="K174" i="1"/>
  <c r="L174" i="1"/>
  <c r="M174" i="1" s="1"/>
  <c r="J175" i="1"/>
  <c r="K175" i="1"/>
  <c r="L175" i="1"/>
  <c r="M175" i="1" s="1"/>
  <c r="J176" i="1"/>
  <c r="K176" i="1"/>
  <c r="L176" i="1"/>
  <c r="M176" i="1"/>
  <c r="J177" i="1"/>
  <c r="K177" i="1"/>
  <c r="L177" i="1"/>
  <c r="M177" i="1" s="1"/>
  <c r="J178" i="1"/>
  <c r="K178" i="1"/>
  <c r="L178" i="1"/>
  <c r="M178" i="1" s="1"/>
  <c r="J179" i="1"/>
  <c r="K179" i="1"/>
  <c r="L179" i="1"/>
  <c r="M179" i="1"/>
  <c r="J180" i="1"/>
  <c r="K180" i="1"/>
  <c r="L180" i="1"/>
  <c r="M180" i="1"/>
  <c r="J181" i="1"/>
  <c r="K181" i="1"/>
  <c r="L181" i="1"/>
  <c r="M181" i="1" s="1"/>
  <c r="J182" i="1"/>
  <c r="K182" i="1"/>
  <c r="L182" i="1"/>
  <c r="M182" i="1"/>
  <c r="J183" i="1"/>
  <c r="K183" i="1"/>
  <c r="L183" i="1"/>
  <c r="M183" i="1" s="1"/>
  <c r="J184" i="1"/>
  <c r="K184" i="1"/>
  <c r="L184" i="1"/>
  <c r="M184" i="1" s="1"/>
  <c r="J185" i="1"/>
  <c r="K185" i="1"/>
  <c r="L185" i="1"/>
  <c r="M185" i="1"/>
  <c r="J186" i="1"/>
  <c r="K186" i="1"/>
  <c r="L186" i="1"/>
  <c r="M186" i="1"/>
  <c r="J187" i="1"/>
  <c r="K187" i="1"/>
  <c r="L187" i="1"/>
  <c r="M187" i="1" s="1"/>
  <c r="J188" i="1"/>
  <c r="K188" i="1"/>
  <c r="L188" i="1"/>
  <c r="M188" i="1"/>
  <c r="J189" i="1"/>
  <c r="K189" i="1"/>
  <c r="L189" i="1"/>
  <c r="M189" i="1" s="1"/>
  <c r="J190" i="1"/>
  <c r="K190" i="1"/>
  <c r="L190" i="1"/>
  <c r="M190" i="1" s="1"/>
  <c r="J191" i="1"/>
  <c r="K191" i="1"/>
  <c r="L191" i="1"/>
  <c r="M191" i="1"/>
  <c r="J192" i="1"/>
  <c r="K192" i="1"/>
  <c r="L192" i="1"/>
  <c r="M192" i="1" s="1"/>
  <c r="J193" i="1"/>
  <c r="K193" i="1"/>
  <c r="L193" i="1"/>
  <c r="M193" i="1" s="1"/>
  <c r="J194" i="1"/>
  <c r="K194" i="1"/>
  <c r="L194" i="1"/>
  <c r="M194" i="1"/>
  <c r="J195" i="1"/>
  <c r="K195" i="1"/>
  <c r="L195" i="1"/>
  <c r="M195" i="1"/>
  <c r="J196" i="1"/>
  <c r="K196" i="1"/>
  <c r="L196" i="1"/>
  <c r="M196" i="1" s="1"/>
  <c r="J197" i="1"/>
  <c r="K197" i="1"/>
  <c r="L197" i="1"/>
  <c r="M197" i="1"/>
  <c r="J198" i="1"/>
  <c r="K198" i="1"/>
  <c r="L198" i="1"/>
  <c r="M198" i="1"/>
  <c r="J199" i="1"/>
  <c r="K199" i="1"/>
  <c r="L199" i="1"/>
  <c r="M199" i="1" s="1"/>
  <c r="J200" i="1"/>
  <c r="K200" i="1"/>
  <c r="L200" i="1"/>
  <c r="M200" i="1"/>
  <c r="J201" i="1"/>
  <c r="K201" i="1"/>
  <c r="L201" i="1"/>
  <c r="M201" i="1"/>
  <c r="J202" i="1"/>
  <c r="K202" i="1"/>
  <c r="L202" i="1"/>
  <c r="M202" i="1" s="1"/>
  <c r="J203" i="1"/>
  <c r="K203" i="1"/>
  <c r="L203" i="1"/>
  <c r="M203" i="1"/>
  <c r="J204" i="1"/>
  <c r="K204" i="1"/>
  <c r="L204" i="1"/>
  <c r="M204" i="1"/>
  <c r="J205" i="1"/>
  <c r="K205" i="1"/>
  <c r="L205" i="1"/>
  <c r="M205" i="1" s="1"/>
  <c r="J206" i="1"/>
  <c r="K206" i="1"/>
  <c r="L206" i="1"/>
  <c r="M206" i="1"/>
  <c r="J207" i="1"/>
  <c r="K207" i="1"/>
  <c r="L207" i="1"/>
  <c r="M207" i="1" s="1"/>
  <c r="J208" i="1"/>
  <c r="K208" i="1"/>
  <c r="L208" i="1"/>
  <c r="M208" i="1" s="1"/>
  <c r="J209" i="1"/>
  <c r="K209" i="1"/>
  <c r="L209" i="1"/>
  <c r="M209" i="1"/>
  <c r="J210" i="1"/>
  <c r="K210" i="1"/>
  <c r="L210" i="1"/>
  <c r="M210" i="1" s="1"/>
  <c r="J211" i="1"/>
  <c r="K211" i="1"/>
  <c r="L211" i="1"/>
  <c r="M211" i="1" s="1"/>
  <c r="J212" i="1"/>
  <c r="K212" i="1"/>
  <c r="L212" i="1"/>
  <c r="M212" i="1"/>
  <c r="J213" i="1"/>
  <c r="K213" i="1"/>
  <c r="L213" i="1"/>
  <c r="M213" i="1" s="1"/>
  <c r="J214" i="1"/>
  <c r="K214" i="1"/>
  <c r="L214" i="1"/>
  <c r="M214" i="1" s="1"/>
  <c r="J215" i="1"/>
  <c r="K215" i="1"/>
  <c r="L215" i="1"/>
  <c r="M215" i="1"/>
  <c r="J216" i="1"/>
  <c r="K216" i="1"/>
  <c r="L216" i="1"/>
  <c r="M216" i="1"/>
  <c r="J217" i="1"/>
  <c r="K217" i="1"/>
  <c r="L217" i="1"/>
  <c r="M217" i="1" s="1"/>
  <c r="J218" i="1"/>
  <c r="K218" i="1"/>
  <c r="L218" i="1"/>
  <c r="M218" i="1"/>
  <c r="J219" i="1"/>
  <c r="K219" i="1"/>
  <c r="L219" i="1"/>
  <c r="M219" i="1" s="1"/>
  <c r="J220" i="1"/>
  <c r="K220" i="1"/>
  <c r="L220" i="1"/>
  <c r="M220" i="1" s="1"/>
  <c r="J221" i="1"/>
  <c r="K221" i="1"/>
  <c r="L221" i="1"/>
  <c r="M221" i="1"/>
  <c r="J222" i="1"/>
  <c r="K222" i="1"/>
  <c r="L222" i="1"/>
  <c r="M222" i="1"/>
  <c r="J223" i="1"/>
  <c r="K223" i="1"/>
  <c r="L223" i="1"/>
  <c r="M223" i="1" s="1"/>
  <c r="J224" i="1"/>
  <c r="K224" i="1"/>
  <c r="L224" i="1"/>
  <c r="M224" i="1"/>
  <c r="J225" i="1"/>
  <c r="K225" i="1"/>
  <c r="L225" i="1"/>
  <c r="M225" i="1"/>
  <c r="J226" i="1"/>
  <c r="K226" i="1"/>
  <c r="L226" i="1"/>
  <c r="M226" i="1" s="1"/>
  <c r="J227" i="1"/>
  <c r="K227" i="1"/>
  <c r="L227" i="1"/>
  <c r="M227" i="1"/>
  <c r="J228" i="1"/>
  <c r="K228" i="1"/>
  <c r="L228" i="1"/>
  <c r="M228" i="1" s="1"/>
  <c r="J229" i="1"/>
  <c r="K229" i="1"/>
  <c r="L229" i="1"/>
  <c r="M229" i="1" s="1"/>
  <c r="J230" i="1"/>
  <c r="K230" i="1"/>
  <c r="L230" i="1"/>
  <c r="M230" i="1"/>
  <c r="J231" i="1"/>
  <c r="K231" i="1"/>
  <c r="L231" i="1"/>
  <c r="M231" i="1"/>
  <c r="J232" i="1"/>
  <c r="K232" i="1"/>
  <c r="L232" i="1"/>
  <c r="M232" i="1" s="1"/>
  <c r="J233" i="1"/>
  <c r="K233" i="1"/>
  <c r="L233" i="1"/>
  <c r="M233" i="1"/>
  <c r="J234" i="1"/>
  <c r="K234" i="1"/>
  <c r="L234" i="1"/>
  <c r="M234" i="1"/>
  <c r="J235" i="1"/>
  <c r="K235" i="1"/>
  <c r="L235" i="1"/>
  <c r="M235" i="1" s="1"/>
  <c r="J236" i="1"/>
  <c r="K236" i="1"/>
  <c r="L236" i="1"/>
  <c r="M236" i="1"/>
  <c r="J237" i="1"/>
  <c r="K237" i="1"/>
  <c r="L237" i="1"/>
  <c r="M237" i="1"/>
  <c r="J238" i="1"/>
  <c r="K238" i="1"/>
  <c r="L238" i="1"/>
  <c r="M238" i="1" s="1"/>
  <c r="J239" i="1"/>
  <c r="K239" i="1"/>
  <c r="L239" i="1"/>
  <c r="M239" i="1"/>
  <c r="J240" i="1"/>
  <c r="K240" i="1"/>
  <c r="L240" i="1"/>
  <c r="M240" i="1"/>
  <c r="J241" i="1"/>
  <c r="K241" i="1"/>
  <c r="L241" i="1"/>
  <c r="M241" i="1" s="1"/>
  <c r="J242" i="1"/>
  <c r="K242" i="1"/>
  <c r="L242" i="1"/>
  <c r="M242" i="1" s="1"/>
  <c r="J243" i="1"/>
  <c r="K243" i="1"/>
  <c r="L243" i="1"/>
  <c r="M243" i="1"/>
  <c r="J244" i="1"/>
  <c r="K244" i="1"/>
  <c r="L244" i="1"/>
  <c r="M244" i="1" s="1"/>
  <c r="J245" i="1"/>
  <c r="K245" i="1"/>
  <c r="L245" i="1"/>
  <c r="M245" i="1"/>
  <c r="J246" i="1"/>
  <c r="K246" i="1"/>
  <c r="L246" i="1"/>
  <c r="M246" i="1" s="1"/>
  <c r="J247" i="1"/>
  <c r="K247" i="1"/>
  <c r="L247" i="1"/>
  <c r="M247" i="1" s="1"/>
  <c r="J248" i="1"/>
  <c r="K248" i="1"/>
  <c r="L248" i="1"/>
  <c r="M248" i="1" s="1"/>
  <c r="J249" i="1"/>
  <c r="K249" i="1"/>
  <c r="L249" i="1"/>
  <c r="M249" i="1" s="1"/>
  <c r="J250" i="1"/>
  <c r="K250" i="1"/>
  <c r="L250" i="1"/>
  <c r="M250" i="1" s="1"/>
  <c r="J251" i="1"/>
  <c r="K251" i="1"/>
  <c r="L251" i="1"/>
  <c r="M251" i="1" s="1"/>
  <c r="J252" i="1"/>
  <c r="K252" i="1"/>
  <c r="L252" i="1"/>
  <c r="M252" i="1"/>
  <c r="J253" i="1"/>
  <c r="K253" i="1"/>
  <c r="L253" i="1"/>
  <c r="M253" i="1" s="1"/>
  <c r="J254" i="1"/>
  <c r="K254" i="1"/>
  <c r="L254" i="1"/>
  <c r="M254" i="1"/>
  <c r="J255" i="1"/>
  <c r="K255" i="1"/>
  <c r="L255" i="1"/>
  <c r="M255" i="1" s="1"/>
  <c r="J256" i="1"/>
  <c r="K256" i="1"/>
  <c r="L256" i="1"/>
  <c r="M256" i="1" s="1"/>
  <c r="J257" i="1"/>
  <c r="K257" i="1"/>
  <c r="L257" i="1"/>
  <c r="M257" i="1"/>
  <c r="J258" i="1"/>
  <c r="K258" i="1"/>
  <c r="L258" i="1"/>
  <c r="M258" i="1"/>
  <c r="J259" i="1"/>
  <c r="K259" i="1"/>
  <c r="L259" i="1"/>
  <c r="M259" i="1" s="1"/>
  <c r="J260" i="1"/>
  <c r="K260" i="1"/>
  <c r="L260" i="1"/>
  <c r="M260" i="1"/>
  <c r="J261" i="1"/>
  <c r="K261" i="1"/>
  <c r="L261" i="1"/>
  <c r="M261" i="1" s="1"/>
  <c r="J262" i="1"/>
  <c r="K262" i="1"/>
  <c r="L262" i="1"/>
  <c r="M262" i="1" s="1"/>
  <c r="J263" i="1"/>
  <c r="K263" i="1"/>
  <c r="L263" i="1"/>
  <c r="M263" i="1" s="1"/>
  <c r="J264" i="1"/>
  <c r="K264" i="1"/>
  <c r="L264" i="1"/>
  <c r="M264" i="1" s="1"/>
  <c r="J265" i="1"/>
  <c r="K265" i="1"/>
  <c r="L265" i="1"/>
  <c r="M265" i="1" s="1"/>
  <c r="J266" i="1"/>
  <c r="K266" i="1"/>
  <c r="L266" i="1"/>
  <c r="M266" i="1" s="1"/>
  <c r="J267" i="1"/>
  <c r="K267" i="1"/>
  <c r="L267" i="1"/>
  <c r="M267" i="1"/>
  <c r="J268" i="1"/>
  <c r="K268" i="1"/>
  <c r="L268" i="1"/>
  <c r="M268" i="1" s="1"/>
  <c r="J269" i="1"/>
  <c r="K269" i="1"/>
  <c r="L269" i="1"/>
  <c r="M269" i="1" s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 s="1"/>
  <c r="J276" i="1"/>
  <c r="K276" i="1"/>
  <c r="L276" i="1"/>
  <c r="M276" i="1"/>
  <c r="J277" i="1"/>
  <c r="K277" i="1"/>
  <c r="L277" i="1"/>
  <c r="M277" i="1"/>
  <c r="J278" i="1"/>
  <c r="K278" i="1"/>
  <c r="L278" i="1"/>
  <c r="M278" i="1" s="1"/>
  <c r="J279" i="1"/>
  <c r="K279" i="1"/>
  <c r="L279" i="1"/>
  <c r="M279" i="1"/>
  <c r="J280" i="1"/>
  <c r="K280" i="1"/>
  <c r="L280" i="1"/>
  <c r="M280" i="1"/>
  <c r="J281" i="1"/>
  <c r="K281" i="1"/>
  <c r="L281" i="1"/>
  <c r="M281" i="1" s="1"/>
  <c r="J282" i="1"/>
  <c r="K282" i="1"/>
  <c r="L282" i="1"/>
  <c r="M282" i="1"/>
  <c r="J283" i="1"/>
  <c r="K283" i="1"/>
  <c r="L283" i="1"/>
  <c r="M283" i="1"/>
  <c r="J284" i="1"/>
  <c r="K284" i="1"/>
  <c r="L284" i="1"/>
  <c r="M284" i="1" s="1"/>
  <c r="J285" i="1"/>
  <c r="K285" i="1"/>
  <c r="L285" i="1"/>
  <c r="M285" i="1"/>
  <c r="J286" i="1"/>
  <c r="K286" i="1"/>
  <c r="L286" i="1"/>
  <c r="M286" i="1"/>
  <c r="J287" i="1"/>
  <c r="K287" i="1"/>
  <c r="L287" i="1"/>
  <c r="M287" i="1" s="1"/>
  <c r="J288" i="1"/>
  <c r="K288" i="1"/>
  <c r="L288" i="1"/>
  <c r="M288" i="1"/>
  <c r="J289" i="1"/>
  <c r="K289" i="1"/>
  <c r="L289" i="1"/>
  <c r="M289" i="1"/>
  <c r="J290" i="1"/>
  <c r="K290" i="1"/>
  <c r="L290" i="1"/>
  <c r="M290" i="1" s="1"/>
  <c r="J291" i="1"/>
  <c r="K291" i="1"/>
  <c r="L291" i="1"/>
  <c r="M291" i="1"/>
  <c r="J292" i="1"/>
  <c r="K292" i="1"/>
  <c r="L292" i="1"/>
  <c r="M292" i="1"/>
  <c r="J293" i="1"/>
  <c r="K293" i="1"/>
  <c r="L293" i="1"/>
  <c r="M293" i="1" s="1"/>
  <c r="J294" i="1"/>
  <c r="K294" i="1"/>
  <c r="L294" i="1"/>
  <c r="M294" i="1"/>
  <c r="J295" i="1"/>
  <c r="K295" i="1"/>
  <c r="L295" i="1"/>
  <c r="M295" i="1"/>
  <c r="J296" i="1"/>
  <c r="K296" i="1"/>
  <c r="L296" i="1"/>
  <c r="M296" i="1" s="1"/>
  <c r="J297" i="1"/>
  <c r="K297" i="1"/>
  <c r="L297" i="1"/>
  <c r="M297" i="1"/>
  <c r="J298" i="1"/>
  <c r="K298" i="1"/>
  <c r="L298" i="1"/>
  <c r="M298" i="1"/>
  <c r="J299" i="1"/>
  <c r="K299" i="1"/>
  <c r="L299" i="1"/>
  <c r="M299" i="1" s="1"/>
  <c r="J300" i="1"/>
  <c r="K300" i="1"/>
  <c r="L300" i="1"/>
  <c r="M300" i="1"/>
  <c r="J301" i="1"/>
  <c r="K301" i="1"/>
  <c r="L301" i="1"/>
  <c r="M301" i="1"/>
  <c r="J302" i="1"/>
  <c r="K302" i="1"/>
  <c r="L302" i="1"/>
  <c r="M302" i="1" s="1"/>
  <c r="J303" i="1"/>
  <c r="K303" i="1"/>
  <c r="L303" i="1"/>
  <c r="M303" i="1"/>
  <c r="J304" i="1"/>
  <c r="K304" i="1"/>
  <c r="L304" i="1"/>
  <c r="M304" i="1"/>
  <c r="J305" i="1"/>
  <c r="K305" i="1"/>
  <c r="L305" i="1"/>
  <c r="M305" i="1" s="1"/>
  <c r="J306" i="1"/>
  <c r="K306" i="1"/>
  <c r="L306" i="1"/>
  <c r="M306" i="1"/>
  <c r="J307" i="1"/>
  <c r="K307" i="1"/>
  <c r="L307" i="1"/>
  <c r="M307" i="1"/>
  <c r="J308" i="1"/>
  <c r="K308" i="1"/>
  <c r="L308" i="1"/>
  <c r="M308" i="1" s="1"/>
  <c r="J309" i="1"/>
  <c r="K309" i="1"/>
  <c r="L309" i="1"/>
  <c r="M309" i="1"/>
  <c r="J310" i="1"/>
  <c r="K310" i="1"/>
  <c r="L310" i="1"/>
  <c r="M310" i="1"/>
  <c r="J311" i="1"/>
  <c r="K311" i="1"/>
  <c r="L311" i="1"/>
  <c r="M311" i="1" s="1"/>
  <c r="J312" i="1"/>
  <c r="K312" i="1"/>
  <c r="L312" i="1"/>
  <c r="M312" i="1"/>
  <c r="J313" i="1"/>
  <c r="K313" i="1"/>
  <c r="L313" i="1"/>
  <c r="M313" i="1"/>
  <c r="J314" i="1"/>
  <c r="K314" i="1"/>
  <c r="L314" i="1"/>
  <c r="M314" i="1" s="1"/>
  <c r="J315" i="1"/>
  <c r="K315" i="1"/>
  <c r="L315" i="1"/>
  <c r="M315" i="1"/>
  <c r="J316" i="1"/>
  <c r="K316" i="1"/>
  <c r="L316" i="1"/>
  <c r="M316" i="1"/>
  <c r="J317" i="1"/>
  <c r="K317" i="1"/>
  <c r="L317" i="1"/>
  <c r="M317" i="1" s="1"/>
  <c r="J318" i="1"/>
  <c r="K318" i="1"/>
  <c r="L318" i="1"/>
  <c r="M318" i="1"/>
  <c r="J319" i="1"/>
  <c r="K319" i="1"/>
  <c r="L319" i="1"/>
  <c r="M319" i="1"/>
  <c r="J320" i="1"/>
  <c r="K320" i="1"/>
  <c r="L320" i="1"/>
  <c r="M320" i="1" s="1"/>
  <c r="J321" i="1"/>
  <c r="K321" i="1"/>
  <c r="L321" i="1"/>
  <c r="M321" i="1"/>
  <c r="J322" i="1"/>
  <c r="K322" i="1"/>
  <c r="L322" i="1"/>
  <c r="M322" i="1"/>
  <c r="J323" i="1"/>
  <c r="K323" i="1"/>
  <c r="L323" i="1"/>
  <c r="M323" i="1" s="1"/>
  <c r="J324" i="1"/>
  <c r="K324" i="1"/>
  <c r="L324" i="1"/>
  <c r="M324" i="1"/>
  <c r="J325" i="1"/>
  <c r="K325" i="1"/>
  <c r="L325" i="1"/>
  <c r="M325" i="1"/>
  <c r="J326" i="1"/>
  <c r="K326" i="1"/>
  <c r="L326" i="1"/>
  <c r="M326" i="1" s="1"/>
  <c r="J327" i="1"/>
  <c r="K327" i="1"/>
  <c r="L327" i="1"/>
  <c r="M327" i="1"/>
  <c r="J328" i="1"/>
  <c r="K328" i="1"/>
  <c r="L328" i="1"/>
  <c r="M328" i="1"/>
  <c r="J329" i="1"/>
  <c r="K329" i="1"/>
  <c r="L329" i="1"/>
  <c r="M329" i="1" s="1"/>
  <c r="J330" i="1"/>
  <c r="K330" i="1"/>
  <c r="L330" i="1"/>
  <c r="M330" i="1"/>
  <c r="J331" i="1"/>
  <c r="K331" i="1"/>
  <c r="L331" i="1"/>
  <c r="M331" i="1"/>
  <c r="J332" i="1"/>
  <c r="K332" i="1"/>
  <c r="L332" i="1"/>
  <c r="M332" i="1" s="1"/>
  <c r="J333" i="1"/>
  <c r="K333" i="1"/>
  <c r="L333" i="1"/>
  <c r="M333" i="1"/>
  <c r="J334" i="1"/>
  <c r="K334" i="1"/>
  <c r="L334" i="1"/>
  <c r="M334" i="1"/>
  <c r="J335" i="1"/>
  <c r="K335" i="1"/>
  <c r="L335" i="1"/>
  <c r="M335" i="1" s="1"/>
  <c r="J336" i="1"/>
  <c r="K336" i="1"/>
  <c r="L336" i="1"/>
  <c r="M336" i="1"/>
  <c r="J337" i="1"/>
  <c r="K337" i="1"/>
  <c r="L337" i="1"/>
  <c r="M337" i="1"/>
  <c r="J338" i="1"/>
  <c r="K338" i="1"/>
  <c r="L338" i="1"/>
  <c r="M338" i="1" s="1"/>
  <c r="J339" i="1"/>
  <c r="K339" i="1"/>
  <c r="L339" i="1"/>
  <c r="M339" i="1"/>
  <c r="J340" i="1"/>
  <c r="K340" i="1"/>
  <c r="L340" i="1"/>
  <c r="M340" i="1"/>
  <c r="J341" i="1"/>
  <c r="K341" i="1"/>
  <c r="L341" i="1"/>
  <c r="M341" i="1" s="1"/>
  <c r="J342" i="1"/>
  <c r="K342" i="1"/>
  <c r="L342" i="1"/>
  <c r="M342" i="1"/>
  <c r="J343" i="1"/>
  <c r="K343" i="1"/>
  <c r="L343" i="1"/>
  <c r="M343" i="1"/>
  <c r="J344" i="1"/>
  <c r="K344" i="1"/>
  <c r="L344" i="1"/>
  <c r="M344" i="1" s="1"/>
  <c r="J345" i="1"/>
  <c r="K345" i="1"/>
  <c r="L345" i="1"/>
  <c r="M345" i="1"/>
  <c r="J346" i="1"/>
  <c r="K346" i="1"/>
  <c r="L346" i="1"/>
  <c r="M346" i="1"/>
  <c r="J347" i="1"/>
  <c r="K347" i="1"/>
  <c r="L347" i="1"/>
  <c r="M347" i="1" s="1"/>
  <c r="J348" i="1"/>
  <c r="K348" i="1"/>
  <c r="L348" i="1"/>
  <c r="M348" i="1"/>
  <c r="J349" i="1"/>
  <c r="K349" i="1"/>
  <c r="L349" i="1"/>
  <c r="M349" i="1"/>
  <c r="J350" i="1"/>
  <c r="K350" i="1"/>
  <c r="L350" i="1"/>
  <c r="M350" i="1" s="1"/>
  <c r="J351" i="1"/>
  <c r="K351" i="1"/>
  <c r="L351" i="1"/>
  <c r="M351" i="1"/>
  <c r="J352" i="1"/>
  <c r="K352" i="1"/>
  <c r="L352" i="1"/>
  <c r="M352" i="1"/>
  <c r="J353" i="1"/>
  <c r="K353" i="1"/>
  <c r="L353" i="1"/>
  <c r="M353" i="1" s="1"/>
  <c r="J354" i="1"/>
  <c r="K354" i="1"/>
  <c r="L354" i="1"/>
  <c r="M354" i="1"/>
  <c r="J355" i="1"/>
  <c r="K355" i="1"/>
  <c r="L355" i="1"/>
  <c r="M355" i="1"/>
  <c r="J356" i="1"/>
  <c r="K356" i="1"/>
  <c r="L356" i="1"/>
  <c r="M356" i="1" s="1"/>
  <c r="J357" i="1"/>
  <c r="K357" i="1"/>
  <c r="L357" i="1"/>
  <c r="M357" i="1"/>
  <c r="J358" i="1"/>
  <c r="K358" i="1"/>
  <c r="L358" i="1"/>
  <c r="M358" i="1"/>
  <c r="J359" i="1"/>
  <c r="K359" i="1"/>
  <c r="L359" i="1"/>
  <c r="M359" i="1" s="1"/>
  <c r="J360" i="1"/>
  <c r="K360" i="1"/>
  <c r="L360" i="1"/>
  <c r="M360" i="1"/>
  <c r="J361" i="1"/>
  <c r="K361" i="1"/>
  <c r="L361" i="1"/>
  <c r="M361" i="1"/>
  <c r="J362" i="1"/>
  <c r="K362" i="1"/>
  <c r="L362" i="1"/>
  <c r="M362" i="1" s="1"/>
  <c r="J363" i="1"/>
  <c r="K363" i="1"/>
  <c r="L363" i="1"/>
  <c r="M363" i="1"/>
  <c r="J364" i="1"/>
  <c r="K364" i="1"/>
  <c r="L364" i="1"/>
  <c r="M364" i="1"/>
  <c r="J365" i="1"/>
  <c r="K365" i="1"/>
  <c r="L365" i="1"/>
  <c r="M365" i="1" s="1"/>
  <c r="J366" i="1"/>
  <c r="K366" i="1"/>
  <c r="L366" i="1"/>
  <c r="M366" i="1"/>
  <c r="J367" i="1"/>
  <c r="K367" i="1"/>
  <c r="L367" i="1"/>
  <c r="M367" i="1"/>
  <c r="J368" i="1"/>
  <c r="K368" i="1"/>
  <c r="L368" i="1"/>
  <c r="M368" i="1" s="1"/>
  <c r="J369" i="1"/>
  <c r="K369" i="1"/>
  <c r="L369" i="1"/>
  <c r="M369" i="1"/>
  <c r="J370" i="1"/>
  <c r="K370" i="1"/>
  <c r="L370" i="1"/>
  <c r="M370" i="1"/>
  <c r="J371" i="1"/>
  <c r="K371" i="1"/>
  <c r="L371" i="1"/>
  <c r="M371" i="1" s="1"/>
  <c r="J372" i="1"/>
  <c r="K372" i="1"/>
  <c r="L372" i="1"/>
  <c r="M372" i="1"/>
  <c r="J373" i="1"/>
  <c r="K373" i="1"/>
  <c r="L373" i="1"/>
  <c r="M373" i="1"/>
  <c r="J374" i="1"/>
  <c r="K374" i="1"/>
  <c r="L374" i="1"/>
  <c r="M374" i="1" s="1"/>
  <c r="J375" i="1"/>
  <c r="K375" i="1"/>
  <c r="L375" i="1"/>
  <c r="M375" i="1"/>
  <c r="J376" i="1"/>
  <c r="K376" i="1"/>
  <c r="L376" i="1"/>
  <c r="M376" i="1"/>
  <c r="J377" i="1"/>
  <c r="K377" i="1"/>
  <c r="L377" i="1"/>
  <c r="M377" i="1" s="1"/>
  <c r="J378" i="1"/>
  <c r="K378" i="1"/>
  <c r="L378" i="1"/>
  <c r="M378" i="1"/>
  <c r="J379" i="1"/>
  <c r="K379" i="1"/>
  <c r="L379" i="1"/>
  <c r="M379" i="1"/>
  <c r="J380" i="1"/>
  <c r="K380" i="1"/>
  <c r="L380" i="1"/>
  <c r="M380" i="1" s="1"/>
  <c r="J381" i="1"/>
  <c r="K381" i="1"/>
  <c r="L381" i="1"/>
  <c r="M381" i="1"/>
  <c r="J382" i="1"/>
  <c r="K382" i="1"/>
  <c r="L382" i="1"/>
  <c r="M382" i="1"/>
  <c r="J383" i="1"/>
  <c r="K383" i="1"/>
  <c r="L383" i="1"/>
  <c r="M383" i="1" s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7" i="1"/>
  <c r="K387" i="1"/>
  <c r="L387" i="1"/>
  <c r="M387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7" i="1"/>
  <c r="K397" i="1"/>
  <c r="L397" i="1"/>
  <c r="M397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G401" i="1" l="1"/>
  <c r="G400" i="1"/>
  <c r="G399" i="1"/>
  <c r="G398" i="1"/>
  <c r="G397" i="1"/>
  <c r="G196" i="1" l="1"/>
  <c r="G191" i="1"/>
  <c r="G172" i="1" l="1"/>
  <c r="G69" i="1" l="1"/>
  <c r="G218" i="1" l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5" i="1"/>
  <c r="G194" i="1"/>
  <c r="G193" i="1"/>
  <c r="G192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48" i="1" l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l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G287" i="1"/>
  <c r="G321" i="1" l="1"/>
  <c r="G219" i="1" l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402" i="1"/>
  <c r="S9" i="1" l="1"/>
  <c r="S8" i="1"/>
  <c r="S7" i="1"/>
  <c r="I11" i="1" l="1"/>
  <c r="E8" i="1"/>
  <c r="L6" i="1"/>
  <c r="L15" i="1" l="1"/>
  <c r="G11" i="1"/>
  <c r="L11" i="1" l="1"/>
  <c r="U8" i="1" l="1"/>
  <c r="U9" i="1"/>
  <c r="U7" i="1"/>
  <c r="T9" i="1"/>
  <c r="U10" i="1" l="1"/>
  <c r="K11" i="1" l="1"/>
  <c r="O11" i="1" s="1"/>
  <c r="T7" i="1"/>
  <c r="S10" i="1"/>
  <c r="T8" i="1"/>
  <c r="M11" i="1"/>
  <c r="T10" i="1" l="1"/>
  <c r="H11" i="1"/>
  <c r="L7" i="1"/>
  <c r="N11" i="1"/>
</calcChain>
</file>

<file path=xl/sharedStrings.xml><?xml version="1.0" encoding="utf-8"?>
<sst xmlns="http://schemas.openxmlformats.org/spreadsheetml/2006/main" count="951" uniqueCount="54">
  <si>
    <t>THỐNG KÊ XUẤT HÀNG</t>
  </si>
  <si>
    <t>Stt</t>
  </si>
  <si>
    <t>Ca</t>
  </si>
  <si>
    <t>Ngày</t>
  </si>
  <si>
    <t>Ngày xuất</t>
  </si>
  <si>
    <t>Phương tiện</t>
  </si>
  <si>
    <t>Tấn</t>
  </si>
  <si>
    <t>Bao</t>
  </si>
  <si>
    <t>Rách vỡ hồi về</t>
  </si>
  <si>
    <t>Theo chuyến</t>
  </si>
  <si>
    <t>Theo bao</t>
  </si>
  <si>
    <t>Ghi chú</t>
  </si>
  <si>
    <t>A</t>
  </si>
  <si>
    <t>B</t>
  </si>
  <si>
    <t>Báo cáo số liệu xuất theo ca</t>
  </si>
  <si>
    <t>KL (tấn)</t>
  </si>
  <si>
    <t>Số bao</t>
  </si>
  <si>
    <t>Số chuyến</t>
  </si>
  <si>
    <t>C</t>
  </si>
  <si>
    <t>Khối lượng vỏ bao (tấn)</t>
  </si>
  <si>
    <t>Số lượng qua cân</t>
  </si>
  <si>
    <t>Trọng lượng vỏ:</t>
  </si>
  <si>
    <t>Kg/1 vỏ</t>
  </si>
  <si>
    <t>Kg/1 bao</t>
  </si>
  <si>
    <t>Trọng lượng xi măng (Net):</t>
  </si>
  <si>
    <t>Số lượng đặt hàng</t>
  </si>
  <si>
    <t>KL vỏ</t>
  </si>
  <si>
    <t>Số lượng thực xuất</t>
  </si>
  <si>
    <t>SL nhận hồi về</t>
  </si>
  <si>
    <t>SL thực xuất (trừ vỏ)</t>
  </si>
  <si>
    <t>KL lệch quy cách (Kg)</t>
  </si>
  <si>
    <t>Số lượng tồn</t>
  </si>
  <si>
    <t>Tổng chênh lệch</t>
  </si>
  <si>
    <t>Trọng lượng XM có vỏ:</t>
  </si>
  <si>
    <t>Số chuyến đã xuất:</t>
  </si>
  <si>
    <t>Số chuyến hồi trả:</t>
  </si>
  <si>
    <t>Theo lô (tấn)</t>
  </si>
  <si>
    <t>BQ bao (kg/bao)</t>
  </si>
  <si>
    <t>NGUYỄN THANH HÙNG</t>
  </si>
  <si>
    <t>NGUYỄN VĂN VINH</t>
  </si>
  <si>
    <t>.</t>
  </si>
  <si>
    <t>37C-12865</t>
  </si>
  <si>
    <t>22A-29975</t>
  </si>
  <si>
    <t>Khách hàng: CÔNG TY TNHH NGUYÊN LIỆU OMANCO VIỆT NAM</t>
  </si>
  <si>
    <t>28H-00160</t>
  </si>
  <si>
    <t>19C-00096</t>
  </si>
  <si>
    <t>Loại hàng:  Xi măng CEM II /A-L 42.5N  đóng bao 50kg, đóng tiếp vào bao SLing 2 tấn- VKH</t>
  </si>
  <si>
    <t>37C-11796</t>
  </si>
  <si>
    <t>18C-09544</t>
  </si>
  <si>
    <t>KO CÂN RIÊNG</t>
  </si>
  <si>
    <t>ĐAI XANH</t>
  </si>
  <si>
    <t>37C-12672</t>
  </si>
  <si>
    <t>Xuất đường bộ</t>
  </si>
  <si>
    <t>Xuất cảng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</si>
</sst>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.VnTime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2B0D97"/>
      <name val="Times New Roman"/>
      <family val="1"/>
    </font>
    <font>
      <b/>
      <sz val="1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5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43" fontId="3" fillId="0" borderId="5" xfId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4" fillId="0" borderId="8" xfId="1" applyFont="1" applyBorder="1"/>
    <xf numFmtId="165" fontId="4" fillId="0" borderId="8" xfId="1" applyNumberFormat="1" applyFont="1" applyBorder="1"/>
    <xf numFmtId="165" fontId="4" fillId="0" borderId="9" xfId="1" applyNumberFormat="1" applyFont="1" applyBorder="1"/>
    <xf numFmtId="0" fontId="3" fillId="0" borderId="8" xfId="0" applyFont="1" applyBorder="1" applyAlignment="1">
      <alignment horizontal="center" vertical="center"/>
    </xf>
    <xf numFmtId="43" fontId="3" fillId="0" borderId="0" xfId="0" applyNumberFormat="1" applyFont="1"/>
    <xf numFmtId="0" fontId="3" fillId="0" borderId="10" xfId="0" applyFont="1" applyBorder="1" applyAlignment="1">
      <alignment horizontal="center" vertical="center"/>
    </xf>
    <xf numFmtId="43" fontId="3" fillId="0" borderId="11" xfId="1" applyFont="1" applyBorder="1" applyAlignment="1">
      <alignment horizontal="center" vertical="center"/>
    </xf>
    <xf numFmtId="4" fontId="3" fillId="0" borderId="11" xfId="1" applyNumberFormat="1" applyFont="1" applyBorder="1" applyAlignment="1">
      <alignment horizontal="center" vertical="center"/>
    </xf>
    <xf numFmtId="4" fontId="3" fillId="0" borderId="14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8" xfId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43" fontId="4" fillId="0" borderId="8" xfId="1" applyNumberFormat="1" applyFont="1" applyBorder="1" applyAlignment="1">
      <alignment horizontal="center" vertical="center" shrinkToFit="1"/>
    </xf>
    <xf numFmtId="165" fontId="4" fillId="0" borderId="8" xfId="0" applyNumberFormat="1" applyFont="1" applyBorder="1" applyAlignment="1">
      <alignment horizontal="center" vertical="center" shrinkToFit="1"/>
    </xf>
    <xf numFmtId="43" fontId="4" fillId="0" borderId="8" xfId="0" applyNumberFormat="1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/>
    </xf>
    <xf numFmtId="43" fontId="8" fillId="0" borderId="11" xfId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43" fontId="8" fillId="0" borderId="5" xfId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 shrinkToFit="1"/>
    </xf>
    <xf numFmtId="43" fontId="6" fillId="4" borderId="8" xfId="0" applyNumberFormat="1" applyFont="1" applyFill="1" applyBorder="1" applyAlignment="1">
      <alignment horizontal="center" vertical="center" shrinkToFit="1"/>
    </xf>
    <xf numFmtId="0" fontId="10" fillId="3" borderId="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43" fontId="12" fillId="0" borderId="8" xfId="0" applyNumberFormat="1" applyFont="1" applyBorder="1" applyAlignment="1">
      <alignment horizontal="center" vertical="center" shrinkToFit="1"/>
    </xf>
    <xf numFmtId="165" fontId="12" fillId="0" borderId="8" xfId="0" applyNumberFormat="1" applyFont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 wrapText="1"/>
    </xf>
    <xf numFmtId="43" fontId="14" fillId="0" borderId="8" xfId="0" applyNumberFormat="1" applyFont="1" applyBorder="1" applyAlignment="1">
      <alignment horizontal="center" vertical="center" shrinkToFit="1"/>
    </xf>
    <xf numFmtId="165" fontId="14" fillId="0" borderId="8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 wrapText="1"/>
    </xf>
    <xf numFmtId="0" fontId="8" fillId="0" borderId="11" xfId="0" applyFont="1" applyBorder="1" applyAlignment="1" applyProtection="1">
      <alignment horizontal="center" vertical="center"/>
      <protection locked="0"/>
    </xf>
    <xf numFmtId="43" fontId="8" fillId="0" borderId="11" xfId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43" fontId="8" fillId="0" borderId="5" xfId="1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5" fillId="0" borderId="0" xfId="3"/>
    <xf numFmtId="0" fontId="8" fillId="0" borderId="0" xfId="0" applyFont="1"/>
    <xf numFmtId="0" fontId="16" fillId="0" borderId="0" xfId="0" applyFont="1"/>
    <xf numFmtId="0" fontId="9" fillId="0" borderId="0" xfId="0" applyFont="1"/>
    <xf numFmtId="0" fontId="8" fillId="5" borderId="11" xfId="0" applyFont="1" applyFill="1" applyBorder="1" applyAlignment="1" applyProtection="1">
      <alignment horizontal="center" vertical="center"/>
      <protection locked="0"/>
    </xf>
    <xf numFmtId="43" fontId="8" fillId="5" borderId="11" xfId="1" applyFont="1" applyFill="1" applyBorder="1" applyAlignment="1" applyProtection="1">
      <alignment horizontal="center" vertical="center"/>
      <protection locked="0"/>
    </xf>
    <xf numFmtId="4" fontId="6" fillId="5" borderId="8" xfId="1" applyNumberFormat="1" applyFont="1" applyFill="1" applyBorder="1" applyAlignment="1">
      <alignment vertical="center" shrinkToFit="1"/>
    </xf>
    <xf numFmtId="164" fontId="3" fillId="0" borderId="0" xfId="0" applyNumberFormat="1" applyFont="1"/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43" fontId="8" fillId="5" borderId="5" xfId="1" applyFont="1" applyFill="1" applyBorder="1" applyAlignment="1">
      <alignment horizontal="center" vertical="center"/>
    </xf>
    <xf numFmtId="0" fontId="3" fillId="5" borderId="0" xfId="0" applyFont="1" applyFill="1"/>
    <xf numFmtId="43" fontId="4" fillId="5" borderId="0" xfId="0" applyNumberFormat="1" applyFont="1" applyFill="1"/>
    <xf numFmtId="0" fontId="4" fillId="5" borderId="0" xfId="0" applyFont="1" applyFill="1"/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43" fontId="8" fillId="6" borderId="5" xfId="1" applyFont="1" applyFill="1" applyBorder="1" applyAlignment="1">
      <alignment horizontal="center" vertical="center"/>
    </xf>
    <xf numFmtId="0" fontId="3" fillId="6" borderId="0" xfId="0" applyFont="1" applyFill="1"/>
    <xf numFmtId="43" fontId="12" fillId="5" borderId="5" xfId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3" fontId="3" fillId="0" borderId="17" xfId="1" applyFont="1" applyBorder="1" applyAlignment="1">
      <alignment horizontal="center" vertical="center"/>
    </xf>
    <xf numFmtId="43" fontId="3" fillId="0" borderId="27" xfId="1" applyFont="1" applyBorder="1" applyAlignment="1">
      <alignment horizontal="center" vertical="center" wrapText="1"/>
    </xf>
    <xf numFmtId="43" fontId="3" fillId="0" borderId="28" xfId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43" fontId="6" fillId="5" borderId="7" xfId="1" applyFont="1" applyFill="1" applyBorder="1" applyAlignment="1">
      <alignment horizontal="center" vertical="center" shrinkToFit="1"/>
    </xf>
    <xf numFmtId="43" fontId="6" fillId="5" borderId="8" xfId="1" applyFont="1" applyFill="1" applyBorder="1" applyAlignment="1">
      <alignment horizontal="center" vertical="center" shrinkToFi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165" fontId="4" fillId="5" borderId="8" xfId="1" applyNumberFormat="1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43" fontId="3" fillId="0" borderId="23" xfId="1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 wrapText="1"/>
    </xf>
    <xf numFmtId="43" fontId="3" fillId="0" borderId="13" xfId="1" applyFont="1" applyBorder="1" applyAlignment="1">
      <alignment horizontal="center" vertical="center" wrapText="1"/>
    </xf>
    <xf numFmtId="43" fontId="3" fillId="0" borderId="22" xfId="1" applyFont="1" applyBorder="1" applyAlignment="1">
      <alignment horizontal="center" vertical="center" wrapText="1"/>
    </xf>
    <xf numFmtId="43" fontId="4" fillId="0" borderId="23" xfId="1" applyFont="1" applyBorder="1" applyAlignment="1">
      <alignment horizontal="center" vertical="center" wrapText="1"/>
    </xf>
    <xf numFmtId="43" fontId="4" fillId="0" borderId="24" xfId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43" fontId="3" fillId="0" borderId="25" xfId="1" applyFont="1" applyBorder="1" applyAlignment="1">
      <alignment horizontal="center"/>
    </xf>
    <xf numFmtId="43" fontId="3" fillId="0" borderId="0" xfId="1" applyFont="1" applyBorder="1" applyAlignment="1">
      <alignment horizontal="center"/>
    </xf>
    <xf numFmtId="43" fontId="3" fillId="0" borderId="0" xfId="1" applyNumberFormat="1" applyFont="1" applyAlignment="1">
      <alignment horizontal="center"/>
    </xf>
    <xf numFmtId="43" fontId="3" fillId="0" borderId="26" xfId="0" applyNumberFormat="1" applyFont="1" applyBorder="1" applyAlignment="1">
      <alignment horizontal="center"/>
    </xf>
    <xf numFmtId="43" fontId="3" fillId="6" borderId="23" xfId="1" applyFont="1" applyFill="1" applyBorder="1" applyAlignment="1">
      <alignment horizontal="center" vertical="center" wrapText="1"/>
    </xf>
    <xf numFmtId="43" fontId="3" fillId="6" borderId="24" xfId="1" applyFont="1" applyFill="1" applyBorder="1" applyAlignment="1">
      <alignment horizontal="center" vertical="center" wrapText="1"/>
    </xf>
    <xf numFmtId="43" fontId="3" fillId="5" borderId="23" xfId="1" applyFont="1" applyFill="1" applyBorder="1" applyAlignment="1">
      <alignment horizontal="center" vertical="center" wrapText="1"/>
    </xf>
    <xf numFmtId="43" fontId="3" fillId="5" borderId="24" xfId="1" applyFont="1" applyFill="1" applyBorder="1" applyAlignment="1">
      <alignment horizontal="center" vertical="center" wrapText="1"/>
    </xf>
    <xf numFmtId="43" fontId="3" fillId="0" borderId="15" xfId="1" applyFont="1" applyBorder="1" applyAlignment="1">
      <alignment horizontal="center" vertical="center" wrapText="1"/>
    </xf>
    <xf numFmtId="43" fontId="3" fillId="0" borderId="16" xfId="1" applyFont="1" applyBorder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Tung" xfId="2"/>
  </cellStyles>
  <dxfs count="0"/>
  <tableStyles count="0" defaultTableStyle="TableStyleMedium2" defaultPivotStyle="PivotStyleLight16"/>
  <colors>
    <mruColors>
      <color rgb="FF005EA4"/>
      <color rgb="FFFFFFCC"/>
      <color rgb="FFCCFFFF"/>
      <color rgb="FF2B0D9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tabSelected="1" zoomScale="90" zoomScaleNormal="90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Q18" sqref="Q18"/>
    </sheetView>
  </sheetViews>
  <sheetFormatPr defaultColWidth="9.140625" defaultRowHeight="15"/>
  <cols>
    <col min="1" max="1" width="5.28515625" style="1" customWidth="1"/>
    <col min="2" max="2" width="6.7109375" style="1" customWidth="1"/>
    <col min="3" max="3" width="6.85546875" style="1" customWidth="1"/>
    <col min="4" max="4" width="11.140625" style="1" bestFit="1" customWidth="1"/>
    <col min="5" max="5" width="9.140625" style="1" customWidth="1"/>
    <col min="6" max="6" width="8.42578125" style="1" customWidth="1"/>
    <col min="7" max="7" width="8.140625" style="1" customWidth="1"/>
    <col min="8" max="8" width="12.7109375" style="1" customWidth="1"/>
    <col min="9" max="9" width="10" style="1" customWidth="1"/>
    <col min="10" max="10" width="9" style="1" customWidth="1"/>
    <col min="11" max="11" width="10" style="1" customWidth="1"/>
    <col min="12" max="12" width="10.85546875" style="1" customWidth="1"/>
    <col min="13" max="13" width="9.85546875" style="1" customWidth="1"/>
    <col min="14" max="14" width="10.140625" style="1" bestFit="1" customWidth="1"/>
    <col min="15" max="15" width="7.42578125" style="1" customWidth="1"/>
    <col min="16" max="16" width="5.7109375" style="1" customWidth="1"/>
    <col min="17" max="19" width="11.28515625" style="1" customWidth="1"/>
    <col min="20" max="20" width="10.5703125" style="1" customWidth="1"/>
    <col min="21" max="21" width="10.140625" style="1" customWidth="1"/>
    <col min="22" max="16384" width="9.140625" style="1"/>
  </cols>
  <sheetData>
    <row r="1" spans="1:21" ht="9" customHeight="1"/>
    <row r="2" spans="1:21" ht="25.5" customHeight="1">
      <c r="A2" s="116" t="s">
        <v>0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Q2" s="105" t="s">
        <v>14</v>
      </c>
      <c r="R2" s="105"/>
      <c r="S2" s="105"/>
      <c r="T2" s="105"/>
      <c r="U2" s="105"/>
    </row>
    <row r="3" spans="1:21" ht="9.75" customHeight="1"/>
    <row r="4" spans="1:21" ht="18.75" customHeight="1">
      <c r="A4" s="2" t="s">
        <v>43</v>
      </c>
      <c r="L4" s="2"/>
      <c r="Q4" s="106" t="s">
        <v>2</v>
      </c>
      <c r="R4" s="108" t="s">
        <v>3</v>
      </c>
      <c r="S4" s="108" t="s">
        <v>15</v>
      </c>
      <c r="T4" s="108" t="s">
        <v>16</v>
      </c>
      <c r="U4" s="110" t="s">
        <v>17</v>
      </c>
    </row>
    <row r="5" spans="1:21" ht="22.5" customHeight="1">
      <c r="A5" s="54" t="s">
        <v>46</v>
      </c>
      <c r="B5" s="54"/>
      <c r="C5" s="53"/>
      <c r="D5" s="54"/>
      <c r="E5" s="54"/>
      <c r="F5" s="54"/>
      <c r="G5" s="54"/>
      <c r="H5" s="54"/>
      <c r="I5" s="54"/>
      <c r="J5" s="54"/>
      <c r="K5" s="52"/>
      <c r="L5" s="52"/>
      <c r="Q5" s="107"/>
      <c r="R5" s="109"/>
      <c r="S5" s="109"/>
      <c r="T5" s="109"/>
      <c r="U5" s="111"/>
    </row>
    <row r="6" spans="1:21" ht="18.75" customHeight="1">
      <c r="A6" s="1" t="s">
        <v>21</v>
      </c>
      <c r="E6" s="118">
        <v>8</v>
      </c>
      <c r="F6" s="119"/>
      <c r="G6" s="1" t="s">
        <v>22</v>
      </c>
      <c r="J6" s="1" t="s">
        <v>34</v>
      </c>
      <c r="L6" s="3">
        <f>COUNTA(E15:E402)</f>
        <v>371</v>
      </c>
      <c r="Q6" s="107"/>
      <c r="R6" s="109"/>
      <c r="S6" s="109"/>
      <c r="T6" s="109"/>
      <c r="U6" s="111"/>
    </row>
    <row r="7" spans="1:21" ht="18.75" customHeight="1">
      <c r="A7" s="1" t="s">
        <v>24</v>
      </c>
      <c r="E7" s="120">
        <v>2000</v>
      </c>
      <c r="F7" s="120"/>
      <c r="G7" s="1" t="s">
        <v>23</v>
      </c>
      <c r="J7" s="1" t="s">
        <v>35</v>
      </c>
      <c r="L7" s="3">
        <f>COUNTA(H15:H402)</f>
        <v>4</v>
      </c>
      <c r="Q7" s="4" t="s">
        <v>12</v>
      </c>
      <c r="R7" s="100">
        <v>22</v>
      </c>
      <c r="S7" s="5">
        <f>SUMIFS($E$15:$E$402,$B$15:$B$402,Q7,$C$15:$C$402,$R$7)-SUMIFS($H$15:$H$402,$B$15:$B$402,Q7,$C$15:$C$402,$R$7)</f>
        <v>0</v>
      </c>
      <c r="T7" s="6">
        <f>SUMIFS($K$15:$K$402,$B$15:$B$402,Q7,$C$15:$C$402,$R$7)</f>
        <v>0</v>
      </c>
      <c r="U7" s="7">
        <f>COUNTIFS($B$15:$B$402,Q7,$C$15:$C$402,$R$7)</f>
        <v>0</v>
      </c>
    </row>
    <row r="8" spans="1:21" ht="20.25" customHeight="1">
      <c r="A8" s="1" t="s">
        <v>33</v>
      </c>
      <c r="E8" s="121">
        <f>+E6+E7</f>
        <v>2008</v>
      </c>
      <c r="F8" s="121"/>
      <c r="G8" s="1" t="s">
        <v>23</v>
      </c>
      <c r="Q8" s="4" t="s">
        <v>13</v>
      </c>
      <c r="R8" s="101"/>
      <c r="S8" s="5">
        <f>SUMIFS($E$15:$E$402,$B$15:$B$402,Q8,$C$15:$C$402,$R$7)-SUMIFS($H$15:$H$402,$B$15:$B$402,Q8,$C$15:$C$402,$R$7)</f>
        <v>1040.5899999999999</v>
      </c>
      <c r="T8" s="6">
        <f>SUMIFS($K$15:$K$402,$B$15:$B$402,Q8,$C$15:$C$402,$R$7)</f>
        <v>517</v>
      </c>
      <c r="U8" s="7">
        <f>COUNTIFS($B$15:$B$402,Q8,$C$15:$C$402,$R$7)</f>
        <v>52</v>
      </c>
    </row>
    <row r="9" spans="1:21" ht="20.25" customHeight="1">
      <c r="A9" s="112" t="s">
        <v>25</v>
      </c>
      <c r="B9" s="113"/>
      <c r="C9" s="113"/>
      <c r="D9" s="113"/>
      <c r="E9" s="113" t="s">
        <v>20</v>
      </c>
      <c r="F9" s="113"/>
      <c r="G9" s="22" t="s">
        <v>26</v>
      </c>
      <c r="H9" s="117" t="s">
        <v>28</v>
      </c>
      <c r="I9" s="117"/>
      <c r="J9" s="115" t="s">
        <v>27</v>
      </c>
      <c r="K9" s="115"/>
      <c r="L9" s="113" t="s">
        <v>32</v>
      </c>
      <c r="M9" s="113"/>
      <c r="N9" s="113" t="s">
        <v>31</v>
      </c>
      <c r="O9" s="114"/>
      <c r="Q9" s="4" t="s">
        <v>18</v>
      </c>
      <c r="R9" s="102"/>
      <c r="S9" s="5">
        <f>SUMIFS($E$15:$E$402,$B$15:$B$402,Q9,$C$15:$C$402,$R$7)-SUMIFS($H$15:$H$402,$B$15:$B$402,Q9,$C$15:$C$402,$R$7)</f>
        <v>68.67</v>
      </c>
      <c r="T9" s="6">
        <f>SUMIFS($K$15:$K$402,$B$15:$B$402,Q9,$C$15:$C$402,$R$7)</f>
        <v>34</v>
      </c>
      <c r="U9" s="7">
        <f>COUNTIFS($B$15:$B$402,Q9,$C$15:$C$402,$R$7)</f>
        <v>4</v>
      </c>
    </row>
    <row r="10" spans="1:21" ht="27" customHeight="1">
      <c r="A10" s="98" t="s">
        <v>6</v>
      </c>
      <c r="B10" s="99"/>
      <c r="C10" s="99" t="s">
        <v>7</v>
      </c>
      <c r="D10" s="99"/>
      <c r="E10" s="8" t="s">
        <v>6</v>
      </c>
      <c r="F10" s="8" t="s">
        <v>7</v>
      </c>
      <c r="G10" s="8" t="s">
        <v>6</v>
      </c>
      <c r="H10" s="36" t="s">
        <v>6</v>
      </c>
      <c r="I10" s="36" t="s">
        <v>7</v>
      </c>
      <c r="J10" s="39" t="s">
        <v>6</v>
      </c>
      <c r="K10" s="39" t="s">
        <v>7</v>
      </c>
      <c r="L10" s="8" t="s">
        <v>36</v>
      </c>
      <c r="M10" s="8" t="s">
        <v>37</v>
      </c>
      <c r="N10" s="8" t="s">
        <v>6</v>
      </c>
      <c r="O10" s="23" t="s">
        <v>7</v>
      </c>
      <c r="Q10" s="103"/>
      <c r="R10" s="104"/>
      <c r="S10" s="9">
        <f>SUM(S7:S9)</f>
        <v>1109.26</v>
      </c>
      <c r="T10" s="10">
        <f t="shared" ref="T10:U10" si="0">SUM(T7:T9)</f>
        <v>551</v>
      </c>
      <c r="U10" s="11">
        <f t="shared" si="0"/>
        <v>56</v>
      </c>
    </row>
    <row r="11" spans="1:21" ht="24.75" customHeight="1">
      <c r="A11" s="79">
        <v>15000</v>
      </c>
      <c r="B11" s="80"/>
      <c r="C11" s="84">
        <f>+A11*1000/E7</f>
        <v>7500</v>
      </c>
      <c r="D11" s="84"/>
      <c r="E11" s="24">
        <f>SUM(E15:E402)</f>
        <v>7717.7110000000057</v>
      </c>
      <c r="F11" s="25">
        <f>SUM(F15:F402)</f>
        <v>3816</v>
      </c>
      <c r="G11" s="26">
        <f t="shared" ref="E11:K11" si="1">SUM(G15:G402)</f>
        <v>30.527999999999732</v>
      </c>
      <c r="H11" s="37">
        <f t="shared" si="1"/>
        <v>14.18</v>
      </c>
      <c r="I11" s="38">
        <f t="shared" si="1"/>
        <v>7</v>
      </c>
      <c r="J11" s="40">
        <f>SUM(J15:J402)</f>
        <v>7673.0030000000079</v>
      </c>
      <c r="K11" s="41">
        <f t="shared" si="1"/>
        <v>3809</v>
      </c>
      <c r="L11" s="57">
        <f>SUM(L15:L402)/1000</f>
        <v>55.183</v>
      </c>
      <c r="M11" s="57">
        <f>AVERAGE(M15:M402)</f>
        <v>14.229626064262185</v>
      </c>
      <c r="N11" s="32">
        <f>+A11-J11</f>
        <v>7326.9969999999921</v>
      </c>
      <c r="O11" s="31">
        <f>+C11-K11</f>
        <v>3691</v>
      </c>
      <c r="P11" s="13"/>
    </row>
    <row r="12" spans="1:21" ht="7.5" customHeight="1"/>
    <row r="13" spans="1:21" ht="18.75" customHeight="1">
      <c r="A13" s="88" t="s">
        <v>1</v>
      </c>
      <c r="B13" s="90" t="s">
        <v>2</v>
      </c>
      <c r="C13" s="78" t="s">
        <v>4</v>
      </c>
      <c r="D13" s="78" t="s">
        <v>5</v>
      </c>
      <c r="E13" s="78" t="s">
        <v>20</v>
      </c>
      <c r="F13" s="78"/>
      <c r="G13" s="82" t="s">
        <v>19</v>
      </c>
      <c r="H13" s="78" t="s">
        <v>8</v>
      </c>
      <c r="I13" s="78"/>
      <c r="J13" s="78" t="s">
        <v>29</v>
      </c>
      <c r="K13" s="81"/>
      <c r="L13" s="78" t="s">
        <v>30</v>
      </c>
      <c r="M13" s="78"/>
      <c r="N13" s="78" t="s">
        <v>11</v>
      </c>
      <c r="O13" s="85"/>
    </row>
    <row r="14" spans="1:21" ht="21.75" customHeight="1">
      <c r="A14" s="89"/>
      <c r="B14" s="91"/>
      <c r="C14" s="86"/>
      <c r="D14" s="86"/>
      <c r="E14" s="33" t="s">
        <v>6</v>
      </c>
      <c r="F14" s="33" t="s">
        <v>7</v>
      </c>
      <c r="G14" s="83"/>
      <c r="H14" s="33" t="s">
        <v>6</v>
      </c>
      <c r="I14" s="33" t="s">
        <v>7</v>
      </c>
      <c r="J14" s="33" t="s">
        <v>6</v>
      </c>
      <c r="K14" s="34" t="s">
        <v>7</v>
      </c>
      <c r="L14" s="35" t="s">
        <v>9</v>
      </c>
      <c r="M14" s="35" t="s">
        <v>10</v>
      </c>
      <c r="N14" s="86"/>
      <c r="O14" s="87"/>
      <c r="P14" s="13"/>
    </row>
    <row r="15" spans="1:21" ht="15.75">
      <c r="A15" s="14">
        <v>1</v>
      </c>
      <c r="B15" s="55" t="s">
        <v>12</v>
      </c>
      <c r="C15" s="55">
        <v>12</v>
      </c>
      <c r="D15" s="55" t="s">
        <v>41</v>
      </c>
      <c r="E15" s="56">
        <v>24.45</v>
      </c>
      <c r="F15" s="56">
        <v>12</v>
      </c>
      <c r="G15" s="28">
        <f>+F15*$E$6/1000</f>
        <v>9.6000000000000002E-2</v>
      </c>
      <c r="H15" s="15"/>
      <c r="I15" s="15"/>
      <c r="J15" s="15">
        <f>+E15-G15-H15</f>
        <v>24.353999999999999</v>
      </c>
      <c r="K15" s="15">
        <f>+F15-I15</f>
        <v>12</v>
      </c>
      <c r="L15" s="16">
        <f>IF(E15*1000-F15*$E$8=0,0,E15*1000-F15*$E$8)</f>
        <v>354</v>
      </c>
      <c r="M15" s="17">
        <f>IF(F15=0,"-",L15/F15)</f>
        <v>29.5</v>
      </c>
      <c r="N15" s="94">
        <f>+K11*2</f>
        <v>7618</v>
      </c>
      <c r="O15" s="95"/>
      <c r="P15" s="13" t="s">
        <v>52</v>
      </c>
      <c r="S15" s="13"/>
    </row>
    <row r="16" spans="1:21" ht="15.75">
      <c r="A16" s="18">
        <f>+A15+1</f>
        <v>2</v>
      </c>
      <c r="B16" s="46" t="s">
        <v>12</v>
      </c>
      <c r="C16" s="46">
        <v>12</v>
      </c>
      <c r="D16" s="46" t="s">
        <v>47</v>
      </c>
      <c r="E16" s="47">
        <v>20.28</v>
      </c>
      <c r="F16" s="47">
        <v>10</v>
      </c>
      <c r="G16" s="28">
        <f t="shared" ref="G15:G120" si="2">+F16*$E$6/1000</f>
        <v>0.08</v>
      </c>
      <c r="H16" s="20"/>
      <c r="I16" s="20"/>
      <c r="J16" s="15">
        <f t="shared" ref="J16:J79" si="3">+E16-G16-H16</f>
        <v>20.200000000000003</v>
      </c>
      <c r="K16" s="15">
        <f t="shared" ref="K16:K79" si="4">+F16-I16</f>
        <v>10</v>
      </c>
      <c r="L16" s="16">
        <f t="shared" ref="L16:L79" si="5">IF(E16*1000-F16*$E$8=0,0,E16*1000-F16*$E$8)</f>
        <v>200</v>
      </c>
      <c r="M16" s="17">
        <f t="shared" ref="M16:M79" si="6">IF(F16=0,"-",L16/F16)</f>
        <v>20</v>
      </c>
      <c r="N16" s="92">
        <v>280</v>
      </c>
      <c r="O16" s="93"/>
      <c r="P16" s="13" t="s">
        <v>53</v>
      </c>
      <c r="S16" s="13"/>
    </row>
    <row r="17" spans="1:15" ht="15.75">
      <c r="A17" s="18">
        <f t="shared" ref="A17:A80" si="7">+A16+1</f>
        <v>3</v>
      </c>
      <c r="B17" s="46" t="s">
        <v>12</v>
      </c>
      <c r="C17" s="46">
        <v>12</v>
      </c>
      <c r="D17" s="48" t="s">
        <v>48</v>
      </c>
      <c r="E17" s="49">
        <v>20.329999999999998</v>
      </c>
      <c r="F17" s="49">
        <v>10</v>
      </c>
      <c r="G17" s="28">
        <f t="shared" si="2"/>
        <v>0.08</v>
      </c>
      <c r="H17" s="15"/>
      <c r="I17" s="15"/>
      <c r="J17" s="15">
        <f t="shared" si="3"/>
        <v>20.25</v>
      </c>
      <c r="K17" s="15">
        <f t="shared" si="4"/>
        <v>10</v>
      </c>
      <c r="L17" s="16">
        <f t="shared" si="5"/>
        <v>250</v>
      </c>
      <c r="M17" s="17">
        <f t="shared" si="6"/>
        <v>25</v>
      </c>
      <c r="N17" s="96">
        <f>+N15+N16</f>
        <v>7898</v>
      </c>
      <c r="O17" s="97"/>
    </row>
    <row r="18" spans="1:15" ht="15.75">
      <c r="A18" s="18">
        <f>+A17+1</f>
        <v>4</v>
      </c>
      <c r="B18" s="46" t="s">
        <v>12</v>
      </c>
      <c r="C18" s="46">
        <v>12</v>
      </c>
      <c r="D18" s="46" t="s">
        <v>45</v>
      </c>
      <c r="E18" s="47">
        <v>20.309999999999999</v>
      </c>
      <c r="F18" s="49">
        <v>10</v>
      </c>
      <c r="G18" s="28">
        <f t="shared" si="2"/>
        <v>0.08</v>
      </c>
      <c r="H18" s="20"/>
      <c r="I18" s="20"/>
      <c r="J18" s="15">
        <f t="shared" si="3"/>
        <v>20.23</v>
      </c>
      <c r="K18" s="15">
        <f t="shared" si="4"/>
        <v>10</v>
      </c>
      <c r="L18" s="16">
        <f t="shared" si="5"/>
        <v>230</v>
      </c>
      <c r="M18" s="17">
        <f t="shared" si="6"/>
        <v>23</v>
      </c>
      <c r="N18" s="92"/>
      <c r="O18" s="93"/>
    </row>
    <row r="19" spans="1:15" ht="15.75">
      <c r="A19" s="18">
        <f t="shared" si="7"/>
        <v>5</v>
      </c>
      <c r="B19" s="55" t="s">
        <v>12</v>
      </c>
      <c r="C19" s="55">
        <v>12</v>
      </c>
      <c r="D19" s="55" t="s">
        <v>41</v>
      </c>
      <c r="E19" s="49">
        <v>24.49</v>
      </c>
      <c r="F19" s="49">
        <v>12</v>
      </c>
      <c r="G19" s="28">
        <f t="shared" si="2"/>
        <v>9.6000000000000002E-2</v>
      </c>
      <c r="H19" s="20"/>
      <c r="I19" s="20"/>
      <c r="J19" s="15">
        <f t="shared" si="3"/>
        <v>24.393999999999998</v>
      </c>
      <c r="K19" s="15">
        <f t="shared" si="4"/>
        <v>12</v>
      </c>
      <c r="L19" s="16">
        <f t="shared" si="5"/>
        <v>394</v>
      </c>
      <c r="M19" s="17">
        <f t="shared" si="6"/>
        <v>32.833333333333336</v>
      </c>
      <c r="N19" s="92"/>
      <c r="O19" s="93"/>
    </row>
    <row r="20" spans="1:15" ht="15.75">
      <c r="A20" s="18">
        <f t="shared" si="7"/>
        <v>6</v>
      </c>
      <c r="B20" s="46" t="s">
        <v>12</v>
      </c>
      <c r="C20" s="46">
        <v>12</v>
      </c>
      <c r="D20" s="48" t="s">
        <v>48</v>
      </c>
      <c r="E20" s="49">
        <v>20.25</v>
      </c>
      <c r="F20" s="49">
        <v>10</v>
      </c>
      <c r="G20" s="28">
        <f t="shared" si="2"/>
        <v>0.08</v>
      </c>
      <c r="H20" s="20"/>
      <c r="I20" s="20"/>
      <c r="J20" s="15">
        <f t="shared" si="3"/>
        <v>20.170000000000002</v>
      </c>
      <c r="K20" s="15">
        <f t="shared" si="4"/>
        <v>10</v>
      </c>
      <c r="L20" s="16">
        <f t="shared" si="5"/>
        <v>170</v>
      </c>
      <c r="M20" s="17">
        <f t="shared" si="6"/>
        <v>17</v>
      </c>
      <c r="N20" s="92"/>
      <c r="O20" s="93"/>
    </row>
    <row r="21" spans="1:15" ht="15.75">
      <c r="A21" s="18">
        <f t="shared" si="7"/>
        <v>7</v>
      </c>
      <c r="B21" s="46" t="s">
        <v>12</v>
      </c>
      <c r="C21" s="46">
        <v>12</v>
      </c>
      <c r="D21" s="48" t="s">
        <v>44</v>
      </c>
      <c r="E21" s="49">
        <v>20.309999999999999</v>
      </c>
      <c r="F21" s="49">
        <v>10</v>
      </c>
      <c r="G21" s="28">
        <f t="shared" si="2"/>
        <v>0.08</v>
      </c>
      <c r="H21" s="20"/>
      <c r="I21" s="20"/>
      <c r="J21" s="15">
        <f t="shared" si="3"/>
        <v>20.23</v>
      </c>
      <c r="K21" s="15">
        <f t="shared" si="4"/>
        <v>10</v>
      </c>
      <c r="L21" s="16">
        <f t="shared" si="5"/>
        <v>230</v>
      </c>
      <c r="M21" s="17">
        <f t="shared" si="6"/>
        <v>23</v>
      </c>
      <c r="N21" s="92"/>
      <c r="O21" s="93"/>
    </row>
    <row r="22" spans="1:15" ht="15.75">
      <c r="A22" s="18">
        <f t="shared" si="7"/>
        <v>8</v>
      </c>
      <c r="B22" s="55" t="s">
        <v>12</v>
      </c>
      <c r="C22" s="55">
        <v>12</v>
      </c>
      <c r="D22" s="55" t="s">
        <v>41</v>
      </c>
      <c r="E22" s="49">
        <v>24.39</v>
      </c>
      <c r="F22" s="49">
        <v>12</v>
      </c>
      <c r="G22" s="28">
        <f t="shared" si="2"/>
        <v>9.6000000000000002E-2</v>
      </c>
      <c r="H22" s="20"/>
      <c r="I22" s="20"/>
      <c r="J22" s="15">
        <f t="shared" si="3"/>
        <v>24.294</v>
      </c>
      <c r="K22" s="15">
        <f t="shared" si="4"/>
        <v>12</v>
      </c>
      <c r="L22" s="16">
        <f t="shared" si="5"/>
        <v>294</v>
      </c>
      <c r="M22" s="17">
        <f t="shared" si="6"/>
        <v>24.5</v>
      </c>
      <c r="N22" s="92"/>
      <c r="O22" s="93"/>
    </row>
    <row r="23" spans="1:15" ht="15.75">
      <c r="A23" s="18">
        <f t="shared" si="7"/>
        <v>9</v>
      </c>
      <c r="B23" s="46" t="s">
        <v>12</v>
      </c>
      <c r="C23" s="46">
        <v>12</v>
      </c>
      <c r="D23" s="46" t="s">
        <v>45</v>
      </c>
      <c r="E23" s="47">
        <v>20.13</v>
      </c>
      <c r="F23" s="49">
        <v>10</v>
      </c>
      <c r="G23" s="28">
        <f t="shared" si="2"/>
        <v>0.08</v>
      </c>
      <c r="H23" s="20"/>
      <c r="I23" s="20"/>
      <c r="J23" s="15">
        <f t="shared" si="3"/>
        <v>20.05</v>
      </c>
      <c r="K23" s="15">
        <f t="shared" si="4"/>
        <v>10</v>
      </c>
      <c r="L23" s="16">
        <f t="shared" si="5"/>
        <v>50</v>
      </c>
      <c r="M23" s="17">
        <f t="shared" si="6"/>
        <v>5</v>
      </c>
      <c r="N23" s="92"/>
      <c r="O23" s="93"/>
    </row>
    <row r="24" spans="1:15" ht="15.75">
      <c r="A24" s="18">
        <f t="shared" si="7"/>
        <v>10</v>
      </c>
      <c r="B24" s="46" t="s">
        <v>12</v>
      </c>
      <c r="C24" s="46">
        <v>12</v>
      </c>
      <c r="D24" s="46" t="s">
        <v>42</v>
      </c>
      <c r="E24" s="49">
        <v>20.321000000000002</v>
      </c>
      <c r="F24" s="49">
        <v>10</v>
      </c>
      <c r="G24" s="28">
        <f t="shared" si="2"/>
        <v>0.08</v>
      </c>
      <c r="H24" s="20"/>
      <c r="I24" s="20"/>
      <c r="J24" s="15">
        <f t="shared" si="3"/>
        <v>20.241000000000003</v>
      </c>
      <c r="K24" s="15">
        <f t="shared" si="4"/>
        <v>10</v>
      </c>
      <c r="L24" s="16">
        <f t="shared" si="5"/>
        <v>241</v>
      </c>
      <c r="M24" s="17">
        <f t="shared" si="6"/>
        <v>24.1</v>
      </c>
      <c r="N24" s="92"/>
      <c r="O24" s="93"/>
    </row>
    <row r="25" spans="1:15" ht="15.75">
      <c r="A25" s="18">
        <f t="shared" si="7"/>
        <v>11</v>
      </c>
      <c r="B25" s="55" t="s">
        <v>12</v>
      </c>
      <c r="C25" s="55">
        <v>12</v>
      </c>
      <c r="D25" s="55" t="s">
        <v>41</v>
      </c>
      <c r="E25" s="47">
        <v>24.42</v>
      </c>
      <c r="F25" s="49">
        <v>12</v>
      </c>
      <c r="G25" s="28">
        <f t="shared" si="2"/>
        <v>9.6000000000000002E-2</v>
      </c>
      <c r="H25" s="20"/>
      <c r="I25" s="20"/>
      <c r="J25" s="15">
        <f t="shared" si="3"/>
        <v>24.324000000000002</v>
      </c>
      <c r="K25" s="15">
        <f t="shared" si="4"/>
        <v>12</v>
      </c>
      <c r="L25" s="16">
        <f t="shared" si="5"/>
        <v>324</v>
      </c>
      <c r="M25" s="17">
        <f t="shared" si="6"/>
        <v>27</v>
      </c>
      <c r="N25" s="92"/>
      <c r="O25" s="93"/>
    </row>
    <row r="26" spans="1:15" ht="15.75">
      <c r="A26" s="18">
        <f t="shared" si="7"/>
        <v>12</v>
      </c>
      <c r="B26" s="46" t="s">
        <v>12</v>
      </c>
      <c r="C26" s="46">
        <v>12</v>
      </c>
      <c r="D26" s="48" t="s">
        <v>44</v>
      </c>
      <c r="E26" s="49">
        <v>20.260000000000002</v>
      </c>
      <c r="F26" s="49">
        <v>10</v>
      </c>
      <c r="G26" s="28">
        <f t="shared" si="2"/>
        <v>0.08</v>
      </c>
      <c r="H26" s="20"/>
      <c r="I26" s="20"/>
      <c r="J26" s="15">
        <f t="shared" si="3"/>
        <v>20.180000000000003</v>
      </c>
      <c r="K26" s="15">
        <f t="shared" si="4"/>
        <v>10</v>
      </c>
      <c r="L26" s="16">
        <f t="shared" si="5"/>
        <v>180</v>
      </c>
      <c r="M26" s="17">
        <f t="shared" si="6"/>
        <v>18</v>
      </c>
      <c r="N26" s="92"/>
      <c r="O26" s="93"/>
    </row>
    <row r="27" spans="1:15" ht="15.75">
      <c r="A27" s="18">
        <f t="shared" si="7"/>
        <v>13</v>
      </c>
      <c r="B27" s="46" t="s">
        <v>12</v>
      </c>
      <c r="C27" s="46">
        <v>12</v>
      </c>
      <c r="D27" s="48" t="s">
        <v>48</v>
      </c>
      <c r="E27" s="49">
        <v>20.18</v>
      </c>
      <c r="F27" s="49">
        <v>10</v>
      </c>
      <c r="G27" s="28">
        <f t="shared" si="2"/>
        <v>0.08</v>
      </c>
      <c r="H27" s="20"/>
      <c r="I27" s="20"/>
      <c r="J27" s="15">
        <f t="shared" si="3"/>
        <v>20.100000000000001</v>
      </c>
      <c r="K27" s="15">
        <f t="shared" si="4"/>
        <v>10</v>
      </c>
      <c r="L27" s="16">
        <f t="shared" si="5"/>
        <v>100</v>
      </c>
      <c r="M27" s="17">
        <f t="shared" si="6"/>
        <v>10</v>
      </c>
      <c r="N27" s="92"/>
      <c r="O27" s="93"/>
    </row>
    <row r="28" spans="1:15" ht="15.75">
      <c r="A28" s="18">
        <f t="shared" si="7"/>
        <v>14</v>
      </c>
      <c r="B28" s="46" t="s">
        <v>12</v>
      </c>
      <c r="C28" s="46">
        <v>12</v>
      </c>
      <c r="D28" s="46" t="s">
        <v>47</v>
      </c>
      <c r="E28" s="49">
        <v>20.22</v>
      </c>
      <c r="F28" s="49">
        <v>10</v>
      </c>
      <c r="G28" s="28">
        <f t="shared" si="2"/>
        <v>0.08</v>
      </c>
      <c r="H28" s="20"/>
      <c r="I28" s="20"/>
      <c r="J28" s="15">
        <f t="shared" si="3"/>
        <v>20.14</v>
      </c>
      <c r="K28" s="15">
        <f t="shared" si="4"/>
        <v>10</v>
      </c>
      <c r="L28" s="16">
        <f t="shared" si="5"/>
        <v>140</v>
      </c>
      <c r="M28" s="17">
        <f t="shared" si="6"/>
        <v>14</v>
      </c>
      <c r="N28" s="92"/>
      <c r="O28" s="93"/>
    </row>
    <row r="29" spans="1:15" ht="15.75">
      <c r="A29" s="18">
        <f t="shared" si="7"/>
        <v>15</v>
      </c>
      <c r="B29" s="46" t="s">
        <v>12</v>
      </c>
      <c r="C29" s="46">
        <v>12</v>
      </c>
      <c r="D29" s="46" t="s">
        <v>45</v>
      </c>
      <c r="E29" s="49">
        <v>20.16</v>
      </c>
      <c r="F29" s="49">
        <v>10</v>
      </c>
      <c r="G29" s="28">
        <f t="shared" si="2"/>
        <v>0.08</v>
      </c>
      <c r="H29" s="20"/>
      <c r="I29" s="20"/>
      <c r="J29" s="15">
        <f t="shared" si="3"/>
        <v>20.080000000000002</v>
      </c>
      <c r="K29" s="15">
        <f t="shared" si="4"/>
        <v>10</v>
      </c>
      <c r="L29" s="16">
        <f t="shared" si="5"/>
        <v>80</v>
      </c>
      <c r="M29" s="17">
        <f t="shared" si="6"/>
        <v>8</v>
      </c>
      <c r="N29" s="92"/>
      <c r="O29" s="93"/>
    </row>
    <row r="30" spans="1:15" ht="15.75">
      <c r="A30" s="18">
        <f t="shared" si="7"/>
        <v>16</v>
      </c>
      <c r="B30" s="55" t="s">
        <v>12</v>
      </c>
      <c r="C30" s="55">
        <v>12</v>
      </c>
      <c r="D30" s="55" t="s">
        <v>41</v>
      </c>
      <c r="E30" s="49">
        <v>24.27</v>
      </c>
      <c r="F30" s="49">
        <v>12</v>
      </c>
      <c r="G30" s="28">
        <f t="shared" si="2"/>
        <v>9.6000000000000002E-2</v>
      </c>
      <c r="H30" s="20"/>
      <c r="I30" s="20"/>
      <c r="J30" s="15">
        <f t="shared" si="3"/>
        <v>24.173999999999999</v>
      </c>
      <c r="K30" s="15">
        <f t="shared" si="4"/>
        <v>12</v>
      </c>
      <c r="L30" s="16">
        <f t="shared" si="5"/>
        <v>174</v>
      </c>
      <c r="M30" s="17">
        <f t="shared" si="6"/>
        <v>14.5</v>
      </c>
      <c r="N30" s="92"/>
      <c r="O30" s="93"/>
    </row>
    <row r="31" spans="1:15" ht="15.75">
      <c r="A31" s="18">
        <f t="shared" si="7"/>
        <v>17</v>
      </c>
      <c r="B31" s="46" t="s">
        <v>12</v>
      </c>
      <c r="C31" s="46">
        <v>12</v>
      </c>
      <c r="D31" s="48" t="s">
        <v>44</v>
      </c>
      <c r="E31" s="49">
        <v>20.16</v>
      </c>
      <c r="F31" s="49">
        <v>10</v>
      </c>
      <c r="G31" s="28">
        <f t="shared" si="2"/>
        <v>0.08</v>
      </c>
      <c r="H31" s="20"/>
      <c r="I31" s="20"/>
      <c r="J31" s="15">
        <f t="shared" si="3"/>
        <v>20.080000000000002</v>
      </c>
      <c r="K31" s="15">
        <f t="shared" si="4"/>
        <v>10</v>
      </c>
      <c r="L31" s="16">
        <f t="shared" si="5"/>
        <v>80</v>
      </c>
      <c r="M31" s="17">
        <f t="shared" si="6"/>
        <v>8</v>
      </c>
      <c r="N31" s="92"/>
      <c r="O31" s="93"/>
    </row>
    <row r="32" spans="1:15" ht="15.75">
      <c r="A32" s="18">
        <f t="shared" si="7"/>
        <v>18</v>
      </c>
      <c r="B32" s="46" t="s">
        <v>12</v>
      </c>
      <c r="C32" s="46">
        <v>12</v>
      </c>
      <c r="D32" s="48" t="s">
        <v>48</v>
      </c>
      <c r="E32" s="49">
        <v>20.21</v>
      </c>
      <c r="F32" s="49">
        <v>10</v>
      </c>
      <c r="G32" s="28">
        <f t="shared" si="2"/>
        <v>0.08</v>
      </c>
      <c r="H32" s="20"/>
      <c r="I32" s="20"/>
      <c r="J32" s="15">
        <f t="shared" si="3"/>
        <v>20.130000000000003</v>
      </c>
      <c r="K32" s="15">
        <f t="shared" si="4"/>
        <v>10</v>
      </c>
      <c r="L32" s="16">
        <f t="shared" si="5"/>
        <v>130</v>
      </c>
      <c r="M32" s="17">
        <f t="shared" si="6"/>
        <v>13</v>
      </c>
      <c r="N32" s="92"/>
      <c r="O32" s="93"/>
    </row>
    <row r="33" spans="1:15" ht="15.75">
      <c r="A33" s="18">
        <f t="shared" si="7"/>
        <v>19</v>
      </c>
      <c r="B33" s="46" t="s">
        <v>12</v>
      </c>
      <c r="C33" s="46">
        <v>12</v>
      </c>
      <c r="D33" s="46" t="s">
        <v>45</v>
      </c>
      <c r="E33" s="49">
        <v>20.28</v>
      </c>
      <c r="F33" s="49">
        <v>10</v>
      </c>
      <c r="G33" s="28">
        <f t="shared" si="2"/>
        <v>0.08</v>
      </c>
      <c r="H33" s="20"/>
      <c r="I33" s="20"/>
      <c r="J33" s="15">
        <f t="shared" si="3"/>
        <v>20.200000000000003</v>
      </c>
      <c r="K33" s="15">
        <f t="shared" si="4"/>
        <v>10</v>
      </c>
      <c r="L33" s="16">
        <f t="shared" si="5"/>
        <v>200</v>
      </c>
      <c r="M33" s="17">
        <f t="shared" si="6"/>
        <v>20</v>
      </c>
      <c r="N33" s="92"/>
      <c r="O33" s="93"/>
    </row>
    <row r="34" spans="1:15" ht="15.75">
      <c r="A34" s="18">
        <f t="shared" si="7"/>
        <v>20</v>
      </c>
      <c r="B34" s="46" t="s">
        <v>12</v>
      </c>
      <c r="C34" s="46">
        <v>12</v>
      </c>
      <c r="D34" s="46" t="s">
        <v>47</v>
      </c>
      <c r="E34" s="49">
        <v>20.190000000000001</v>
      </c>
      <c r="F34" s="49">
        <v>10</v>
      </c>
      <c r="G34" s="30">
        <f t="shared" si="2"/>
        <v>0.08</v>
      </c>
      <c r="H34" s="20"/>
      <c r="I34" s="20"/>
      <c r="J34" s="15">
        <f t="shared" si="3"/>
        <v>20.110000000000003</v>
      </c>
      <c r="K34" s="15">
        <f t="shared" si="4"/>
        <v>10</v>
      </c>
      <c r="L34" s="16">
        <f t="shared" si="5"/>
        <v>110</v>
      </c>
      <c r="M34" s="17">
        <f t="shared" si="6"/>
        <v>11</v>
      </c>
      <c r="N34" s="92"/>
      <c r="O34" s="93"/>
    </row>
    <row r="35" spans="1:15" ht="15.75">
      <c r="A35" s="18">
        <f t="shared" si="7"/>
        <v>21</v>
      </c>
      <c r="B35" s="55" t="s">
        <v>12</v>
      </c>
      <c r="C35" s="55">
        <v>12</v>
      </c>
      <c r="D35" s="55" t="s">
        <v>41</v>
      </c>
      <c r="E35" s="49">
        <v>24.39</v>
      </c>
      <c r="F35" s="49">
        <v>12</v>
      </c>
      <c r="G35" s="30">
        <f t="shared" si="2"/>
        <v>9.6000000000000002E-2</v>
      </c>
      <c r="H35" s="20"/>
      <c r="I35" s="20"/>
      <c r="J35" s="15">
        <f t="shared" si="3"/>
        <v>24.294</v>
      </c>
      <c r="K35" s="15">
        <f t="shared" si="4"/>
        <v>12</v>
      </c>
      <c r="L35" s="16">
        <f t="shared" si="5"/>
        <v>294</v>
      </c>
      <c r="M35" s="17">
        <f t="shared" si="6"/>
        <v>24.5</v>
      </c>
      <c r="N35" s="92"/>
      <c r="O35" s="93"/>
    </row>
    <row r="36" spans="1:15" ht="15.75">
      <c r="A36" s="18">
        <f t="shared" si="7"/>
        <v>22</v>
      </c>
      <c r="B36" s="46" t="s">
        <v>12</v>
      </c>
      <c r="C36" s="46">
        <v>12</v>
      </c>
      <c r="D36" s="48" t="s">
        <v>44</v>
      </c>
      <c r="E36" s="49">
        <v>20.2</v>
      </c>
      <c r="F36" s="49">
        <v>10</v>
      </c>
      <c r="G36" s="30">
        <f t="shared" si="2"/>
        <v>0.08</v>
      </c>
      <c r="H36" s="20"/>
      <c r="I36" s="20"/>
      <c r="J36" s="15">
        <f t="shared" si="3"/>
        <v>20.12</v>
      </c>
      <c r="K36" s="15">
        <f t="shared" si="4"/>
        <v>10</v>
      </c>
      <c r="L36" s="16">
        <f t="shared" si="5"/>
        <v>120</v>
      </c>
      <c r="M36" s="17">
        <f t="shared" si="6"/>
        <v>12</v>
      </c>
      <c r="N36" s="92"/>
      <c r="O36" s="93"/>
    </row>
    <row r="37" spans="1:15" ht="15.75">
      <c r="A37" s="18">
        <f t="shared" si="7"/>
        <v>23</v>
      </c>
      <c r="B37" s="46" t="s">
        <v>12</v>
      </c>
      <c r="C37" s="46">
        <v>12</v>
      </c>
      <c r="D37" s="48" t="s">
        <v>48</v>
      </c>
      <c r="E37" s="49">
        <v>20.18</v>
      </c>
      <c r="F37" s="49">
        <v>10</v>
      </c>
      <c r="G37" s="30">
        <f t="shared" si="2"/>
        <v>0.08</v>
      </c>
      <c r="H37" s="20"/>
      <c r="I37" s="20"/>
      <c r="J37" s="15">
        <f t="shared" si="3"/>
        <v>20.100000000000001</v>
      </c>
      <c r="K37" s="15">
        <f t="shared" si="4"/>
        <v>10</v>
      </c>
      <c r="L37" s="16">
        <f t="shared" si="5"/>
        <v>100</v>
      </c>
      <c r="M37" s="17">
        <f t="shared" si="6"/>
        <v>10</v>
      </c>
      <c r="N37" s="92"/>
      <c r="O37" s="93"/>
    </row>
    <row r="38" spans="1:15" ht="15.75">
      <c r="A38" s="18">
        <f t="shared" si="7"/>
        <v>24</v>
      </c>
      <c r="B38" s="46" t="s">
        <v>12</v>
      </c>
      <c r="C38" s="46">
        <v>12</v>
      </c>
      <c r="D38" s="46" t="s">
        <v>45</v>
      </c>
      <c r="E38" s="49">
        <v>20.170000000000002</v>
      </c>
      <c r="F38" s="49">
        <v>10</v>
      </c>
      <c r="G38" s="30">
        <f t="shared" si="2"/>
        <v>0.08</v>
      </c>
      <c r="H38" s="20"/>
      <c r="I38" s="20"/>
      <c r="J38" s="15">
        <f t="shared" si="3"/>
        <v>20.090000000000003</v>
      </c>
      <c r="K38" s="15">
        <f t="shared" si="4"/>
        <v>10</v>
      </c>
      <c r="L38" s="16">
        <f t="shared" si="5"/>
        <v>90</v>
      </c>
      <c r="M38" s="17">
        <f t="shared" si="6"/>
        <v>9</v>
      </c>
      <c r="N38" s="92"/>
      <c r="O38" s="93"/>
    </row>
    <row r="39" spans="1:15" ht="15.75">
      <c r="A39" s="18">
        <f t="shared" si="7"/>
        <v>25</v>
      </c>
      <c r="B39" s="46" t="s">
        <v>12</v>
      </c>
      <c r="C39" s="46">
        <v>12</v>
      </c>
      <c r="D39" s="46" t="s">
        <v>47</v>
      </c>
      <c r="E39" s="49">
        <v>20.190000000000001</v>
      </c>
      <c r="F39" s="49">
        <v>10</v>
      </c>
      <c r="G39" s="30">
        <f t="shared" si="2"/>
        <v>0.08</v>
      </c>
      <c r="H39" s="20"/>
      <c r="I39" s="20"/>
      <c r="J39" s="15">
        <f t="shared" si="3"/>
        <v>20.110000000000003</v>
      </c>
      <c r="K39" s="15">
        <f t="shared" si="4"/>
        <v>10</v>
      </c>
      <c r="L39" s="16">
        <f t="shared" si="5"/>
        <v>110</v>
      </c>
      <c r="M39" s="17">
        <f t="shared" si="6"/>
        <v>11</v>
      </c>
      <c r="N39" s="92"/>
      <c r="O39" s="93"/>
    </row>
    <row r="40" spans="1:15" ht="15.75">
      <c r="A40" s="18">
        <f t="shared" si="7"/>
        <v>26</v>
      </c>
      <c r="B40" s="55" t="s">
        <v>12</v>
      </c>
      <c r="C40" s="55">
        <v>12</v>
      </c>
      <c r="D40" s="55" t="s">
        <v>41</v>
      </c>
      <c r="E40" s="30">
        <v>24.29</v>
      </c>
      <c r="F40" s="30">
        <v>12</v>
      </c>
      <c r="G40" s="30">
        <f t="shared" si="2"/>
        <v>9.6000000000000002E-2</v>
      </c>
      <c r="H40" s="20"/>
      <c r="I40" s="20"/>
      <c r="J40" s="15">
        <f t="shared" si="3"/>
        <v>24.193999999999999</v>
      </c>
      <c r="K40" s="15">
        <f t="shared" si="4"/>
        <v>12</v>
      </c>
      <c r="L40" s="16">
        <f t="shared" si="5"/>
        <v>194</v>
      </c>
      <c r="M40" s="17">
        <f t="shared" si="6"/>
        <v>16.166666666666668</v>
      </c>
      <c r="N40" s="92"/>
      <c r="O40" s="93"/>
    </row>
    <row r="41" spans="1:15" ht="15.75">
      <c r="A41" s="18">
        <f t="shared" si="7"/>
        <v>27</v>
      </c>
      <c r="B41" s="19" t="s">
        <v>13</v>
      </c>
      <c r="C41" s="19">
        <v>12</v>
      </c>
      <c r="D41" s="46" t="s">
        <v>44</v>
      </c>
      <c r="E41" s="30">
        <v>20.2</v>
      </c>
      <c r="F41" s="30">
        <v>10</v>
      </c>
      <c r="G41" s="30">
        <f t="shared" si="2"/>
        <v>0.08</v>
      </c>
      <c r="H41" s="20"/>
      <c r="I41" s="20"/>
      <c r="J41" s="15">
        <f t="shared" si="3"/>
        <v>20.12</v>
      </c>
      <c r="K41" s="15">
        <f t="shared" si="4"/>
        <v>10</v>
      </c>
      <c r="L41" s="16">
        <f t="shared" si="5"/>
        <v>120</v>
      </c>
      <c r="M41" s="17">
        <f t="shared" si="6"/>
        <v>12</v>
      </c>
      <c r="N41" s="92"/>
      <c r="O41" s="93"/>
    </row>
    <row r="42" spans="1:15" ht="15.75">
      <c r="A42" s="18">
        <f t="shared" si="7"/>
        <v>28</v>
      </c>
      <c r="B42" s="19" t="s">
        <v>13</v>
      </c>
      <c r="C42" s="19">
        <v>12</v>
      </c>
      <c r="D42" s="46" t="s">
        <v>44</v>
      </c>
      <c r="E42" s="47">
        <v>20.22</v>
      </c>
      <c r="F42" s="47">
        <v>10</v>
      </c>
      <c r="G42" s="30">
        <f t="shared" si="2"/>
        <v>0.08</v>
      </c>
      <c r="H42" s="20"/>
      <c r="I42" s="20"/>
      <c r="J42" s="15">
        <f t="shared" si="3"/>
        <v>20.14</v>
      </c>
      <c r="K42" s="15">
        <f t="shared" si="4"/>
        <v>10</v>
      </c>
      <c r="L42" s="16">
        <f t="shared" si="5"/>
        <v>140</v>
      </c>
      <c r="M42" s="17">
        <f t="shared" si="6"/>
        <v>14</v>
      </c>
      <c r="N42" s="92"/>
      <c r="O42" s="93"/>
    </row>
    <row r="43" spans="1:15" ht="15.75">
      <c r="A43" s="18">
        <f t="shared" si="7"/>
        <v>29</v>
      </c>
      <c r="B43" s="19" t="s">
        <v>13</v>
      </c>
      <c r="C43" s="19">
        <v>12</v>
      </c>
      <c r="D43" s="48" t="s">
        <v>41</v>
      </c>
      <c r="E43" s="49">
        <v>24.28</v>
      </c>
      <c r="F43" s="49">
        <v>12</v>
      </c>
      <c r="G43" s="30">
        <f t="shared" si="2"/>
        <v>9.6000000000000002E-2</v>
      </c>
      <c r="H43" s="20"/>
      <c r="I43" s="20"/>
      <c r="J43" s="15">
        <f t="shared" si="3"/>
        <v>24.184000000000001</v>
      </c>
      <c r="K43" s="15">
        <f t="shared" si="4"/>
        <v>12</v>
      </c>
      <c r="L43" s="16">
        <f t="shared" si="5"/>
        <v>184</v>
      </c>
      <c r="M43" s="17">
        <f t="shared" si="6"/>
        <v>15.333333333333334</v>
      </c>
      <c r="N43" s="92"/>
      <c r="O43" s="93"/>
    </row>
    <row r="44" spans="1:15" ht="15.75">
      <c r="A44" s="18">
        <f t="shared" si="7"/>
        <v>30</v>
      </c>
      <c r="B44" s="19" t="s">
        <v>13</v>
      </c>
      <c r="C44" s="19">
        <v>12</v>
      </c>
      <c r="D44" s="46" t="s">
        <v>44</v>
      </c>
      <c r="E44" s="47">
        <v>20.23</v>
      </c>
      <c r="F44" s="49">
        <v>10</v>
      </c>
      <c r="G44" s="30">
        <f t="shared" si="2"/>
        <v>0.08</v>
      </c>
      <c r="H44" s="20"/>
      <c r="I44" s="20"/>
      <c r="J44" s="15">
        <f t="shared" si="3"/>
        <v>20.150000000000002</v>
      </c>
      <c r="K44" s="15">
        <f t="shared" si="4"/>
        <v>10</v>
      </c>
      <c r="L44" s="16">
        <f t="shared" si="5"/>
        <v>150</v>
      </c>
      <c r="M44" s="17">
        <f t="shared" si="6"/>
        <v>15</v>
      </c>
      <c r="N44" s="92"/>
      <c r="O44" s="93"/>
    </row>
    <row r="45" spans="1:15" ht="15.75">
      <c r="A45" s="18">
        <f t="shared" si="7"/>
        <v>31</v>
      </c>
      <c r="B45" s="19" t="s">
        <v>13</v>
      </c>
      <c r="C45" s="19">
        <v>12</v>
      </c>
      <c r="D45" s="48" t="s">
        <v>41</v>
      </c>
      <c r="E45" s="49">
        <v>24.27</v>
      </c>
      <c r="F45" s="49">
        <v>12</v>
      </c>
      <c r="G45" s="30">
        <f t="shared" si="2"/>
        <v>9.6000000000000002E-2</v>
      </c>
      <c r="H45" s="20"/>
      <c r="I45" s="20"/>
      <c r="J45" s="15">
        <f t="shared" si="3"/>
        <v>24.173999999999999</v>
      </c>
      <c r="K45" s="15">
        <f t="shared" si="4"/>
        <v>12</v>
      </c>
      <c r="L45" s="16">
        <f t="shared" si="5"/>
        <v>174</v>
      </c>
      <c r="M45" s="17">
        <f t="shared" si="6"/>
        <v>14.5</v>
      </c>
      <c r="N45" s="92"/>
      <c r="O45" s="93"/>
    </row>
    <row r="46" spans="1:15" ht="15.75">
      <c r="A46" s="18">
        <f t="shared" si="7"/>
        <v>32</v>
      </c>
      <c r="B46" s="19" t="s">
        <v>13</v>
      </c>
      <c r="C46" s="19">
        <v>12</v>
      </c>
      <c r="D46" s="46" t="s">
        <v>44</v>
      </c>
      <c r="E46" s="49">
        <v>20.22</v>
      </c>
      <c r="F46" s="49">
        <v>10</v>
      </c>
      <c r="G46" s="30">
        <f t="shared" si="2"/>
        <v>0.08</v>
      </c>
      <c r="H46" s="20"/>
      <c r="I46" s="20"/>
      <c r="J46" s="15">
        <f t="shared" si="3"/>
        <v>20.14</v>
      </c>
      <c r="K46" s="15">
        <f t="shared" si="4"/>
        <v>10</v>
      </c>
      <c r="L46" s="16">
        <f t="shared" si="5"/>
        <v>140</v>
      </c>
      <c r="M46" s="17">
        <f t="shared" si="6"/>
        <v>14</v>
      </c>
      <c r="N46" s="92"/>
      <c r="O46" s="93"/>
    </row>
    <row r="47" spans="1:15" ht="15.75">
      <c r="A47" s="18">
        <f t="shared" si="7"/>
        <v>33</v>
      </c>
      <c r="B47" s="19" t="s">
        <v>13</v>
      </c>
      <c r="C47" s="19">
        <v>12</v>
      </c>
      <c r="D47" s="48" t="s">
        <v>41</v>
      </c>
      <c r="E47" s="49">
        <v>24.29</v>
      </c>
      <c r="F47" s="49">
        <v>12</v>
      </c>
      <c r="G47" s="30">
        <f t="shared" si="2"/>
        <v>9.6000000000000002E-2</v>
      </c>
      <c r="H47" s="20"/>
      <c r="I47" s="20"/>
      <c r="J47" s="15">
        <f t="shared" si="3"/>
        <v>24.193999999999999</v>
      </c>
      <c r="K47" s="15">
        <f t="shared" si="4"/>
        <v>12</v>
      </c>
      <c r="L47" s="16">
        <f t="shared" si="5"/>
        <v>194</v>
      </c>
      <c r="M47" s="17">
        <f t="shared" si="6"/>
        <v>16.166666666666668</v>
      </c>
      <c r="N47" s="92"/>
      <c r="O47" s="93"/>
    </row>
    <row r="48" spans="1:15" ht="15.75">
      <c r="A48" s="18">
        <f t="shared" si="7"/>
        <v>34</v>
      </c>
      <c r="B48" s="19" t="s">
        <v>13</v>
      </c>
      <c r="C48" s="19">
        <v>12</v>
      </c>
      <c r="D48" s="46" t="s">
        <v>44</v>
      </c>
      <c r="E48" s="49">
        <v>20.22</v>
      </c>
      <c r="F48" s="49">
        <v>10</v>
      </c>
      <c r="G48" s="30">
        <f t="shared" si="2"/>
        <v>0.08</v>
      </c>
      <c r="H48" s="20"/>
      <c r="I48" s="20"/>
      <c r="J48" s="15">
        <f t="shared" si="3"/>
        <v>20.14</v>
      </c>
      <c r="K48" s="15">
        <f t="shared" si="4"/>
        <v>10</v>
      </c>
      <c r="L48" s="16">
        <f t="shared" si="5"/>
        <v>140</v>
      </c>
      <c r="M48" s="17">
        <f t="shared" si="6"/>
        <v>14</v>
      </c>
      <c r="N48" s="92"/>
      <c r="O48" s="93"/>
    </row>
    <row r="49" spans="1:15" ht="15.75">
      <c r="A49" s="18">
        <f t="shared" si="7"/>
        <v>35</v>
      </c>
      <c r="B49" s="19" t="s">
        <v>13</v>
      </c>
      <c r="C49" s="19">
        <v>12</v>
      </c>
      <c r="D49" s="48" t="s">
        <v>41</v>
      </c>
      <c r="E49" s="47">
        <v>24.34</v>
      </c>
      <c r="F49" s="49">
        <v>12</v>
      </c>
      <c r="G49" s="30">
        <f t="shared" si="2"/>
        <v>9.6000000000000002E-2</v>
      </c>
      <c r="H49" s="20"/>
      <c r="I49" s="20"/>
      <c r="J49" s="15">
        <f t="shared" si="3"/>
        <v>24.244</v>
      </c>
      <c r="K49" s="15">
        <f t="shared" si="4"/>
        <v>12</v>
      </c>
      <c r="L49" s="16">
        <f t="shared" si="5"/>
        <v>244</v>
      </c>
      <c r="M49" s="17">
        <f t="shared" si="6"/>
        <v>20.333333333333332</v>
      </c>
      <c r="N49" s="92"/>
      <c r="O49" s="93"/>
    </row>
    <row r="50" spans="1:15" ht="15.75">
      <c r="A50" s="18">
        <f t="shared" si="7"/>
        <v>36</v>
      </c>
      <c r="B50" s="19" t="s">
        <v>13</v>
      </c>
      <c r="C50" s="19">
        <v>12</v>
      </c>
      <c r="D50" s="46" t="s">
        <v>44</v>
      </c>
      <c r="E50" s="49">
        <v>20.29</v>
      </c>
      <c r="F50" s="49">
        <v>10</v>
      </c>
      <c r="G50" s="30">
        <f t="shared" si="2"/>
        <v>0.08</v>
      </c>
      <c r="H50" s="20"/>
      <c r="I50" s="20"/>
      <c r="J50" s="15">
        <f t="shared" si="3"/>
        <v>20.21</v>
      </c>
      <c r="K50" s="15">
        <f t="shared" si="4"/>
        <v>10</v>
      </c>
      <c r="L50" s="16">
        <f t="shared" si="5"/>
        <v>210</v>
      </c>
      <c r="M50" s="17">
        <f t="shared" si="6"/>
        <v>21</v>
      </c>
      <c r="N50" s="92"/>
      <c r="O50" s="93"/>
    </row>
    <row r="51" spans="1:15" ht="15.75">
      <c r="A51" s="18">
        <f t="shared" si="7"/>
        <v>37</v>
      </c>
      <c r="B51" s="19" t="s">
        <v>13</v>
      </c>
      <c r="C51" s="19">
        <v>12</v>
      </c>
      <c r="D51" s="46" t="s">
        <v>41</v>
      </c>
      <c r="E51" s="47">
        <v>24.39</v>
      </c>
      <c r="F51" s="49">
        <v>12</v>
      </c>
      <c r="G51" s="30">
        <f t="shared" si="2"/>
        <v>9.6000000000000002E-2</v>
      </c>
      <c r="H51" s="20"/>
      <c r="I51" s="20"/>
      <c r="J51" s="15">
        <f t="shared" si="3"/>
        <v>24.294</v>
      </c>
      <c r="K51" s="15">
        <f t="shared" si="4"/>
        <v>12</v>
      </c>
      <c r="L51" s="16">
        <f t="shared" si="5"/>
        <v>294</v>
      </c>
      <c r="M51" s="17">
        <f t="shared" si="6"/>
        <v>24.5</v>
      </c>
      <c r="N51" s="92"/>
      <c r="O51" s="93"/>
    </row>
    <row r="52" spans="1:15" ht="15.75">
      <c r="A52" s="18">
        <f t="shared" si="7"/>
        <v>38</v>
      </c>
      <c r="B52" s="19" t="s">
        <v>13</v>
      </c>
      <c r="C52" s="19">
        <v>12</v>
      </c>
      <c r="D52" s="46" t="s">
        <v>44</v>
      </c>
      <c r="E52" s="49">
        <v>20.28</v>
      </c>
      <c r="F52" s="49">
        <v>10</v>
      </c>
      <c r="G52" s="30">
        <f t="shared" si="2"/>
        <v>0.08</v>
      </c>
      <c r="H52" s="20"/>
      <c r="I52" s="20"/>
      <c r="J52" s="15">
        <f t="shared" si="3"/>
        <v>20.200000000000003</v>
      </c>
      <c r="K52" s="15">
        <f t="shared" si="4"/>
        <v>10</v>
      </c>
      <c r="L52" s="16">
        <f t="shared" si="5"/>
        <v>200</v>
      </c>
      <c r="M52" s="17">
        <f t="shared" si="6"/>
        <v>20</v>
      </c>
      <c r="N52" s="92"/>
      <c r="O52" s="93"/>
    </row>
    <row r="53" spans="1:15" ht="15.75">
      <c r="A53" s="18">
        <f t="shared" si="7"/>
        <v>39</v>
      </c>
      <c r="B53" s="19" t="s">
        <v>13</v>
      </c>
      <c r="C53" s="19">
        <v>12</v>
      </c>
      <c r="D53" s="48" t="s">
        <v>41</v>
      </c>
      <c r="E53" s="49">
        <v>18.170000000000002</v>
      </c>
      <c r="F53" s="49">
        <v>9</v>
      </c>
      <c r="G53" s="30">
        <f t="shared" si="2"/>
        <v>7.1999999999999995E-2</v>
      </c>
      <c r="H53" s="20"/>
      <c r="I53" s="20"/>
      <c r="J53" s="15">
        <f t="shared" si="3"/>
        <v>18.098000000000003</v>
      </c>
      <c r="K53" s="15">
        <f t="shared" si="4"/>
        <v>9</v>
      </c>
      <c r="L53" s="16">
        <f t="shared" si="5"/>
        <v>98</v>
      </c>
      <c r="M53" s="17">
        <f t="shared" si="6"/>
        <v>10.888888888888889</v>
      </c>
      <c r="N53" s="92"/>
      <c r="O53" s="93"/>
    </row>
    <row r="54" spans="1:15" ht="15.75">
      <c r="A54" s="18">
        <f t="shared" si="7"/>
        <v>40</v>
      </c>
      <c r="B54" s="46" t="s">
        <v>18</v>
      </c>
      <c r="C54" s="46">
        <v>12</v>
      </c>
      <c r="D54" s="46" t="s">
        <v>44</v>
      </c>
      <c r="E54" s="49">
        <v>20.22</v>
      </c>
      <c r="F54" s="49">
        <v>10</v>
      </c>
      <c r="G54" s="30">
        <f t="shared" si="2"/>
        <v>0.08</v>
      </c>
      <c r="H54" s="20"/>
      <c r="I54" s="20"/>
      <c r="J54" s="15">
        <f t="shared" si="3"/>
        <v>20.14</v>
      </c>
      <c r="K54" s="15">
        <f t="shared" si="4"/>
        <v>10</v>
      </c>
      <c r="L54" s="16">
        <f t="shared" si="5"/>
        <v>140</v>
      </c>
      <c r="M54" s="17">
        <f t="shared" si="6"/>
        <v>14</v>
      </c>
      <c r="N54" s="92"/>
      <c r="O54" s="93"/>
    </row>
    <row r="55" spans="1:15" ht="15.75">
      <c r="A55" s="18">
        <f t="shared" si="7"/>
        <v>41</v>
      </c>
      <c r="B55" s="46" t="s">
        <v>18</v>
      </c>
      <c r="C55" s="46">
        <v>12</v>
      </c>
      <c r="D55" s="48" t="s">
        <v>48</v>
      </c>
      <c r="E55" s="49">
        <v>20.21</v>
      </c>
      <c r="F55" s="49">
        <v>10</v>
      </c>
      <c r="G55" s="30">
        <f t="shared" si="2"/>
        <v>0.08</v>
      </c>
      <c r="H55" s="20"/>
      <c r="I55" s="20"/>
      <c r="J55" s="15">
        <f t="shared" si="3"/>
        <v>20.130000000000003</v>
      </c>
      <c r="K55" s="15">
        <f t="shared" si="4"/>
        <v>10</v>
      </c>
      <c r="L55" s="16">
        <f t="shared" si="5"/>
        <v>130</v>
      </c>
      <c r="M55" s="17">
        <f t="shared" si="6"/>
        <v>13</v>
      </c>
      <c r="N55" s="92"/>
      <c r="O55" s="93"/>
    </row>
    <row r="56" spans="1:15" ht="15.75">
      <c r="A56" s="18">
        <f t="shared" si="7"/>
        <v>42</v>
      </c>
      <c r="B56" s="46" t="s">
        <v>18</v>
      </c>
      <c r="C56" s="46">
        <v>12</v>
      </c>
      <c r="D56" s="46" t="s">
        <v>45</v>
      </c>
      <c r="E56" s="49">
        <v>20.21</v>
      </c>
      <c r="F56" s="49">
        <v>10</v>
      </c>
      <c r="G56" s="30">
        <f t="shared" si="2"/>
        <v>0.08</v>
      </c>
      <c r="H56" s="20"/>
      <c r="I56" s="20"/>
      <c r="J56" s="15">
        <f t="shared" si="3"/>
        <v>20.130000000000003</v>
      </c>
      <c r="K56" s="15">
        <f t="shared" si="4"/>
        <v>10</v>
      </c>
      <c r="L56" s="16">
        <f t="shared" si="5"/>
        <v>130</v>
      </c>
      <c r="M56" s="17">
        <f t="shared" si="6"/>
        <v>13</v>
      </c>
      <c r="N56" s="92"/>
      <c r="O56" s="93"/>
    </row>
    <row r="57" spans="1:15" ht="15.75">
      <c r="A57" s="18">
        <f t="shared" si="7"/>
        <v>43</v>
      </c>
      <c r="B57" s="46" t="s">
        <v>18</v>
      </c>
      <c r="C57" s="46">
        <v>12</v>
      </c>
      <c r="D57" s="46" t="s">
        <v>41</v>
      </c>
      <c r="E57" s="49">
        <v>24.26</v>
      </c>
      <c r="F57" s="49">
        <v>12</v>
      </c>
      <c r="G57" s="30">
        <f t="shared" si="2"/>
        <v>9.6000000000000002E-2</v>
      </c>
      <c r="H57" s="20"/>
      <c r="I57" s="20"/>
      <c r="J57" s="15">
        <f t="shared" si="3"/>
        <v>24.164000000000001</v>
      </c>
      <c r="K57" s="15">
        <f t="shared" si="4"/>
        <v>12</v>
      </c>
      <c r="L57" s="16">
        <f t="shared" si="5"/>
        <v>164</v>
      </c>
      <c r="M57" s="17">
        <f t="shared" si="6"/>
        <v>13.666666666666666</v>
      </c>
      <c r="N57" s="92"/>
      <c r="O57" s="93"/>
    </row>
    <row r="58" spans="1:15" ht="15.75">
      <c r="A58" s="18">
        <f t="shared" si="7"/>
        <v>44</v>
      </c>
      <c r="B58" s="46" t="s">
        <v>18</v>
      </c>
      <c r="C58" s="46">
        <v>12</v>
      </c>
      <c r="D58" s="48" t="s">
        <v>47</v>
      </c>
      <c r="E58" s="49">
        <v>20.100000000000001</v>
      </c>
      <c r="F58" s="49">
        <v>10</v>
      </c>
      <c r="G58" s="30">
        <f t="shared" si="2"/>
        <v>0.08</v>
      </c>
      <c r="H58" s="20"/>
      <c r="I58" s="20"/>
      <c r="J58" s="15">
        <f t="shared" si="3"/>
        <v>20.020000000000003</v>
      </c>
      <c r="K58" s="15">
        <f t="shared" si="4"/>
        <v>10</v>
      </c>
      <c r="L58" s="16">
        <f t="shared" si="5"/>
        <v>20</v>
      </c>
      <c r="M58" s="17">
        <f t="shared" si="6"/>
        <v>2</v>
      </c>
      <c r="N58" s="92"/>
      <c r="O58" s="93"/>
    </row>
    <row r="59" spans="1:15" ht="15.75">
      <c r="A59" s="18">
        <f t="shared" si="7"/>
        <v>45</v>
      </c>
      <c r="B59" s="27" t="s">
        <v>18</v>
      </c>
      <c r="C59" s="27">
        <v>12</v>
      </c>
      <c r="D59" s="27" t="s">
        <v>44</v>
      </c>
      <c r="E59" s="20">
        <v>20.28</v>
      </c>
      <c r="F59" s="30">
        <v>10</v>
      </c>
      <c r="G59" s="30">
        <f t="shared" si="2"/>
        <v>0.08</v>
      </c>
      <c r="H59" s="20"/>
      <c r="I59" s="20"/>
      <c r="J59" s="15">
        <f t="shared" si="3"/>
        <v>20.200000000000003</v>
      </c>
      <c r="K59" s="15">
        <f t="shared" si="4"/>
        <v>10</v>
      </c>
      <c r="L59" s="16">
        <f t="shared" si="5"/>
        <v>200</v>
      </c>
      <c r="M59" s="17">
        <f t="shared" si="6"/>
        <v>20</v>
      </c>
      <c r="N59" s="92"/>
      <c r="O59" s="93"/>
    </row>
    <row r="60" spans="1:15" ht="15.75">
      <c r="A60" s="18">
        <f t="shared" si="7"/>
        <v>46</v>
      </c>
      <c r="B60" s="27" t="s">
        <v>18</v>
      </c>
      <c r="C60" s="27">
        <v>12</v>
      </c>
      <c r="D60" s="46" t="s">
        <v>48</v>
      </c>
      <c r="E60" s="20">
        <v>20.28</v>
      </c>
      <c r="F60" s="30">
        <v>10</v>
      </c>
      <c r="G60" s="30">
        <f t="shared" si="2"/>
        <v>0.08</v>
      </c>
      <c r="H60" s="20"/>
      <c r="I60" s="20"/>
      <c r="J60" s="15">
        <f t="shared" si="3"/>
        <v>20.200000000000003</v>
      </c>
      <c r="K60" s="15">
        <f t="shared" si="4"/>
        <v>10</v>
      </c>
      <c r="L60" s="16">
        <f t="shared" si="5"/>
        <v>200</v>
      </c>
      <c r="M60" s="17">
        <f t="shared" si="6"/>
        <v>20</v>
      </c>
      <c r="N60" s="92"/>
      <c r="O60" s="93"/>
    </row>
    <row r="61" spans="1:15" ht="15.75">
      <c r="A61" s="18">
        <f t="shared" si="7"/>
        <v>47</v>
      </c>
      <c r="B61" s="27" t="s">
        <v>18</v>
      </c>
      <c r="C61" s="27">
        <v>12</v>
      </c>
      <c r="D61" s="46" t="s">
        <v>41</v>
      </c>
      <c r="E61" s="20">
        <v>24.32</v>
      </c>
      <c r="F61" s="30">
        <v>12</v>
      </c>
      <c r="G61" s="30">
        <f t="shared" si="2"/>
        <v>9.6000000000000002E-2</v>
      </c>
      <c r="H61" s="20"/>
      <c r="I61" s="20"/>
      <c r="J61" s="15">
        <f t="shared" si="3"/>
        <v>24.224</v>
      </c>
      <c r="K61" s="15">
        <f t="shared" si="4"/>
        <v>12</v>
      </c>
      <c r="L61" s="16">
        <f t="shared" si="5"/>
        <v>224</v>
      </c>
      <c r="M61" s="17">
        <f t="shared" si="6"/>
        <v>18.666666666666668</v>
      </c>
      <c r="N61" s="92"/>
      <c r="O61" s="93"/>
    </row>
    <row r="62" spans="1:15" ht="15.75">
      <c r="A62" s="18">
        <f t="shared" si="7"/>
        <v>48</v>
      </c>
      <c r="B62" s="27" t="s">
        <v>18</v>
      </c>
      <c r="C62" s="27">
        <v>12</v>
      </c>
      <c r="D62" s="29" t="s">
        <v>45</v>
      </c>
      <c r="E62" s="20">
        <v>20.23</v>
      </c>
      <c r="F62" s="30">
        <v>10</v>
      </c>
      <c r="G62" s="30">
        <f t="shared" si="2"/>
        <v>0.08</v>
      </c>
      <c r="H62" s="20"/>
      <c r="I62" s="20"/>
      <c r="J62" s="15">
        <f t="shared" si="3"/>
        <v>20.150000000000002</v>
      </c>
      <c r="K62" s="15">
        <f t="shared" si="4"/>
        <v>10</v>
      </c>
      <c r="L62" s="16">
        <f t="shared" si="5"/>
        <v>150</v>
      </c>
      <c r="M62" s="17">
        <f t="shared" si="6"/>
        <v>15</v>
      </c>
      <c r="N62" s="92"/>
      <c r="O62" s="93"/>
    </row>
    <row r="63" spans="1:15" ht="15.75">
      <c r="A63" s="18">
        <f t="shared" si="7"/>
        <v>49</v>
      </c>
      <c r="B63" s="27" t="s">
        <v>18</v>
      </c>
      <c r="C63" s="27">
        <v>12</v>
      </c>
      <c r="D63" s="27" t="s">
        <v>44</v>
      </c>
      <c r="E63" s="20">
        <v>20.190000000000001</v>
      </c>
      <c r="F63" s="30">
        <v>10</v>
      </c>
      <c r="G63" s="30">
        <f t="shared" si="2"/>
        <v>0.08</v>
      </c>
      <c r="H63" s="20"/>
      <c r="I63" s="20"/>
      <c r="J63" s="15">
        <f t="shared" si="3"/>
        <v>20.110000000000003</v>
      </c>
      <c r="K63" s="15">
        <f t="shared" si="4"/>
        <v>10</v>
      </c>
      <c r="L63" s="16">
        <f t="shared" si="5"/>
        <v>110</v>
      </c>
      <c r="M63" s="17">
        <f t="shared" si="6"/>
        <v>11</v>
      </c>
      <c r="N63" s="92"/>
      <c r="O63" s="93"/>
    </row>
    <row r="64" spans="1:15" ht="15.75">
      <c r="A64" s="18">
        <f t="shared" si="7"/>
        <v>50</v>
      </c>
      <c r="B64" s="27" t="s">
        <v>18</v>
      </c>
      <c r="C64" s="27">
        <v>12</v>
      </c>
      <c r="D64" s="46" t="s">
        <v>48</v>
      </c>
      <c r="E64" s="20">
        <v>20.2</v>
      </c>
      <c r="F64" s="20">
        <v>10</v>
      </c>
      <c r="G64" s="30">
        <f t="shared" si="2"/>
        <v>0.08</v>
      </c>
      <c r="H64" s="20"/>
      <c r="I64" s="20"/>
      <c r="J64" s="15">
        <f t="shared" si="3"/>
        <v>20.12</v>
      </c>
      <c r="K64" s="15">
        <f t="shared" si="4"/>
        <v>10</v>
      </c>
      <c r="L64" s="16">
        <f t="shared" si="5"/>
        <v>120</v>
      </c>
      <c r="M64" s="17">
        <f t="shared" si="6"/>
        <v>12</v>
      </c>
      <c r="N64" s="92"/>
      <c r="O64" s="93"/>
    </row>
    <row r="65" spans="1:15" ht="15.75">
      <c r="A65" s="18">
        <f t="shared" si="7"/>
        <v>51</v>
      </c>
      <c r="B65" s="27" t="s">
        <v>18</v>
      </c>
      <c r="C65" s="27">
        <v>12</v>
      </c>
      <c r="D65" s="46" t="s">
        <v>41</v>
      </c>
      <c r="E65" s="20">
        <v>24.31</v>
      </c>
      <c r="F65" s="20">
        <v>12</v>
      </c>
      <c r="G65" s="30">
        <f t="shared" si="2"/>
        <v>9.6000000000000002E-2</v>
      </c>
      <c r="H65" s="20"/>
      <c r="I65" s="20"/>
      <c r="J65" s="15">
        <f t="shared" si="3"/>
        <v>24.213999999999999</v>
      </c>
      <c r="K65" s="15">
        <f t="shared" si="4"/>
        <v>12</v>
      </c>
      <c r="L65" s="16">
        <f t="shared" si="5"/>
        <v>214</v>
      </c>
      <c r="M65" s="17">
        <f t="shared" si="6"/>
        <v>17.833333333333332</v>
      </c>
      <c r="N65" s="92"/>
      <c r="O65" s="93"/>
    </row>
    <row r="66" spans="1:15" ht="15.75">
      <c r="A66" s="18">
        <f t="shared" si="7"/>
        <v>52</v>
      </c>
      <c r="B66" s="27" t="s">
        <v>18</v>
      </c>
      <c r="C66" s="27">
        <v>12</v>
      </c>
      <c r="D66" s="29" t="s">
        <v>47</v>
      </c>
      <c r="E66" s="20">
        <v>20.190000000000001</v>
      </c>
      <c r="F66" s="20">
        <v>10</v>
      </c>
      <c r="G66" s="30">
        <f t="shared" si="2"/>
        <v>0.08</v>
      </c>
      <c r="H66" s="20"/>
      <c r="I66" s="20"/>
      <c r="J66" s="15">
        <f t="shared" si="3"/>
        <v>20.110000000000003</v>
      </c>
      <c r="K66" s="15">
        <f t="shared" si="4"/>
        <v>10</v>
      </c>
      <c r="L66" s="16">
        <f t="shared" si="5"/>
        <v>110</v>
      </c>
      <c r="M66" s="17">
        <f t="shared" si="6"/>
        <v>11</v>
      </c>
      <c r="N66" s="92"/>
      <c r="O66" s="93"/>
    </row>
    <row r="67" spans="1:15" ht="15.75">
      <c r="A67" s="18">
        <f t="shared" si="7"/>
        <v>53</v>
      </c>
      <c r="B67" s="27" t="s">
        <v>18</v>
      </c>
      <c r="C67" s="27">
        <v>12</v>
      </c>
      <c r="D67" s="27" t="s">
        <v>45</v>
      </c>
      <c r="E67" s="20">
        <v>20.16</v>
      </c>
      <c r="F67" s="20">
        <v>10</v>
      </c>
      <c r="G67" s="30">
        <f t="shared" si="2"/>
        <v>0.08</v>
      </c>
      <c r="H67" s="20"/>
      <c r="I67" s="20"/>
      <c r="J67" s="15">
        <f t="shared" si="3"/>
        <v>20.080000000000002</v>
      </c>
      <c r="K67" s="15">
        <f t="shared" si="4"/>
        <v>10</v>
      </c>
      <c r="L67" s="16">
        <f t="shared" si="5"/>
        <v>80</v>
      </c>
      <c r="M67" s="17">
        <f t="shared" si="6"/>
        <v>8</v>
      </c>
      <c r="N67" s="92"/>
      <c r="O67" s="93"/>
    </row>
    <row r="68" spans="1:15" ht="15.75">
      <c r="A68" s="18">
        <f t="shared" si="7"/>
        <v>54</v>
      </c>
      <c r="B68" s="27" t="s">
        <v>18</v>
      </c>
      <c r="C68" s="27">
        <v>12</v>
      </c>
      <c r="D68" s="46" t="s">
        <v>44</v>
      </c>
      <c r="E68" s="20">
        <v>20.25</v>
      </c>
      <c r="F68" s="20">
        <v>10</v>
      </c>
      <c r="G68" s="30">
        <f t="shared" si="2"/>
        <v>0.08</v>
      </c>
      <c r="H68" s="20"/>
      <c r="I68" s="20"/>
      <c r="J68" s="15">
        <f t="shared" si="3"/>
        <v>20.170000000000002</v>
      </c>
      <c r="K68" s="15">
        <f t="shared" si="4"/>
        <v>10</v>
      </c>
      <c r="L68" s="16">
        <f t="shared" si="5"/>
        <v>170</v>
      </c>
      <c r="M68" s="17">
        <f t="shared" si="6"/>
        <v>17</v>
      </c>
      <c r="N68" s="92"/>
      <c r="O68" s="93"/>
    </row>
    <row r="69" spans="1:15" ht="15.75">
      <c r="A69" s="18">
        <f t="shared" si="7"/>
        <v>55</v>
      </c>
      <c r="B69" s="27" t="s">
        <v>18</v>
      </c>
      <c r="C69" s="27">
        <v>12</v>
      </c>
      <c r="D69" s="46" t="s">
        <v>48</v>
      </c>
      <c r="E69" s="20">
        <v>20.2</v>
      </c>
      <c r="F69" s="20">
        <v>10</v>
      </c>
      <c r="G69" s="30">
        <f t="shared" si="2"/>
        <v>0.08</v>
      </c>
      <c r="H69" s="20"/>
      <c r="I69" s="20"/>
      <c r="J69" s="15">
        <f t="shared" si="3"/>
        <v>20.12</v>
      </c>
      <c r="K69" s="15">
        <f t="shared" si="4"/>
        <v>10</v>
      </c>
      <c r="L69" s="16">
        <f t="shared" si="5"/>
        <v>120</v>
      </c>
      <c r="M69" s="17">
        <f t="shared" si="6"/>
        <v>12</v>
      </c>
      <c r="N69" s="92"/>
      <c r="O69" s="93"/>
    </row>
    <row r="70" spans="1:15" ht="15.75">
      <c r="A70" s="18">
        <f t="shared" si="7"/>
        <v>56</v>
      </c>
      <c r="B70" s="27" t="s">
        <v>12</v>
      </c>
      <c r="C70" s="27">
        <v>13</v>
      </c>
      <c r="D70" s="29" t="s">
        <v>41</v>
      </c>
      <c r="E70" s="20">
        <v>24.19</v>
      </c>
      <c r="F70" s="20">
        <v>12</v>
      </c>
      <c r="G70" s="30">
        <f t="shared" si="2"/>
        <v>9.6000000000000002E-2</v>
      </c>
      <c r="H70" s="20"/>
      <c r="I70" s="20"/>
      <c r="J70" s="15">
        <f t="shared" si="3"/>
        <v>24.094000000000001</v>
      </c>
      <c r="K70" s="15">
        <f t="shared" si="4"/>
        <v>12</v>
      </c>
      <c r="L70" s="16">
        <f t="shared" si="5"/>
        <v>94</v>
      </c>
      <c r="M70" s="17">
        <f t="shared" si="6"/>
        <v>7.833333333333333</v>
      </c>
      <c r="N70" s="92"/>
      <c r="O70" s="93"/>
    </row>
    <row r="71" spans="1:15" ht="15.75">
      <c r="A71" s="18">
        <f t="shared" si="7"/>
        <v>57</v>
      </c>
      <c r="B71" s="27" t="s">
        <v>12</v>
      </c>
      <c r="C71" s="27">
        <v>13</v>
      </c>
      <c r="D71" s="27" t="s">
        <v>45</v>
      </c>
      <c r="E71" s="20">
        <v>20.18</v>
      </c>
      <c r="F71" s="20">
        <v>10</v>
      </c>
      <c r="G71" s="30">
        <f t="shared" si="2"/>
        <v>0.08</v>
      </c>
      <c r="H71" s="20"/>
      <c r="I71" s="20"/>
      <c r="J71" s="15">
        <f t="shared" si="3"/>
        <v>20.100000000000001</v>
      </c>
      <c r="K71" s="15">
        <f t="shared" si="4"/>
        <v>10</v>
      </c>
      <c r="L71" s="16">
        <f t="shared" si="5"/>
        <v>100</v>
      </c>
      <c r="M71" s="17">
        <f t="shared" si="6"/>
        <v>10</v>
      </c>
      <c r="N71" s="92"/>
      <c r="O71" s="93"/>
    </row>
    <row r="72" spans="1:15" ht="15.75">
      <c r="A72" s="18">
        <f t="shared" si="7"/>
        <v>58</v>
      </c>
      <c r="B72" s="27" t="s">
        <v>12</v>
      </c>
      <c r="C72" s="27">
        <v>13</v>
      </c>
      <c r="D72" s="46" t="s">
        <v>48</v>
      </c>
      <c r="E72" s="20">
        <v>20.25</v>
      </c>
      <c r="F72" s="20">
        <v>10</v>
      </c>
      <c r="G72" s="30">
        <f t="shared" si="2"/>
        <v>0.08</v>
      </c>
      <c r="H72" s="20"/>
      <c r="I72" s="20"/>
      <c r="J72" s="15">
        <f t="shared" si="3"/>
        <v>20.170000000000002</v>
      </c>
      <c r="K72" s="15">
        <f t="shared" si="4"/>
        <v>10</v>
      </c>
      <c r="L72" s="16">
        <f t="shared" si="5"/>
        <v>170</v>
      </c>
      <c r="M72" s="17">
        <f t="shared" si="6"/>
        <v>17</v>
      </c>
      <c r="N72" s="92"/>
      <c r="O72" s="93"/>
    </row>
    <row r="73" spans="1:15" ht="15.75">
      <c r="A73" s="18">
        <f t="shared" si="7"/>
        <v>59</v>
      </c>
      <c r="B73" s="27" t="s">
        <v>12</v>
      </c>
      <c r="C73" s="27">
        <v>13</v>
      </c>
      <c r="D73" s="46" t="s">
        <v>41</v>
      </c>
      <c r="E73" s="20">
        <v>24.29</v>
      </c>
      <c r="F73" s="20">
        <v>12</v>
      </c>
      <c r="G73" s="30">
        <f t="shared" si="2"/>
        <v>9.6000000000000002E-2</v>
      </c>
      <c r="H73" s="20"/>
      <c r="I73" s="20"/>
      <c r="J73" s="15">
        <f t="shared" si="3"/>
        <v>24.193999999999999</v>
      </c>
      <c r="K73" s="15">
        <f t="shared" si="4"/>
        <v>12</v>
      </c>
      <c r="L73" s="16">
        <f t="shared" si="5"/>
        <v>194</v>
      </c>
      <c r="M73" s="17">
        <f t="shared" si="6"/>
        <v>16.166666666666668</v>
      </c>
      <c r="N73" s="92"/>
      <c r="O73" s="93"/>
    </row>
    <row r="74" spans="1:15" ht="15.75">
      <c r="A74" s="18">
        <f t="shared" si="7"/>
        <v>60</v>
      </c>
      <c r="B74" s="27" t="s">
        <v>12</v>
      </c>
      <c r="C74" s="27">
        <v>13</v>
      </c>
      <c r="D74" s="29" t="s">
        <v>45</v>
      </c>
      <c r="E74" s="20">
        <v>20.16</v>
      </c>
      <c r="F74" s="20">
        <v>10</v>
      </c>
      <c r="G74" s="30">
        <f t="shared" si="2"/>
        <v>0.08</v>
      </c>
      <c r="H74" s="20"/>
      <c r="I74" s="20"/>
      <c r="J74" s="15">
        <f t="shared" si="3"/>
        <v>20.080000000000002</v>
      </c>
      <c r="K74" s="15">
        <f t="shared" si="4"/>
        <v>10</v>
      </c>
      <c r="L74" s="16">
        <f t="shared" si="5"/>
        <v>80</v>
      </c>
      <c r="M74" s="17">
        <f t="shared" si="6"/>
        <v>8</v>
      </c>
      <c r="N74" s="92"/>
      <c r="O74" s="93"/>
    </row>
    <row r="75" spans="1:15" ht="15.75">
      <c r="A75" s="18">
        <f t="shared" si="7"/>
        <v>61</v>
      </c>
      <c r="B75" s="27" t="s">
        <v>12</v>
      </c>
      <c r="C75" s="27">
        <v>13</v>
      </c>
      <c r="D75" s="46" t="s">
        <v>44</v>
      </c>
      <c r="E75" s="20">
        <v>20.190000000000001</v>
      </c>
      <c r="F75" s="20">
        <v>10</v>
      </c>
      <c r="G75" s="30">
        <f t="shared" si="2"/>
        <v>0.08</v>
      </c>
      <c r="H75" s="20"/>
      <c r="I75" s="20"/>
      <c r="J75" s="15">
        <f t="shared" si="3"/>
        <v>20.110000000000003</v>
      </c>
      <c r="K75" s="15">
        <f t="shared" si="4"/>
        <v>10</v>
      </c>
      <c r="L75" s="16">
        <f t="shared" si="5"/>
        <v>110</v>
      </c>
      <c r="M75" s="17">
        <f t="shared" si="6"/>
        <v>11</v>
      </c>
      <c r="N75" s="92"/>
      <c r="O75" s="93"/>
    </row>
    <row r="76" spans="1:15" ht="15.75">
      <c r="A76" s="18">
        <f t="shared" si="7"/>
        <v>62</v>
      </c>
      <c r="B76" s="27" t="s">
        <v>12</v>
      </c>
      <c r="C76" s="27">
        <v>13</v>
      </c>
      <c r="D76" s="29" t="s">
        <v>48</v>
      </c>
      <c r="E76" s="20">
        <v>20.25</v>
      </c>
      <c r="F76" s="20">
        <v>10</v>
      </c>
      <c r="G76" s="30">
        <f t="shared" si="2"/>
        <v>0.08</v>
      </c>
      <c r="H76" s="20"/>
      <c r="I76" s="20"/>
      <c r="J76" s="15">
        <f t="shared" si="3"/>
        <v>20.170000000000002</v>
      </c>
      <c r="K76" s="15">
        <f t="shared" si="4"/>
        <v>10</v>
      </c>
      <c r="L76" s="16">
        <f t="shared" si="5"/>
        <v>170</v>
      </c>
      <c r="M76" s="17">
        <f t="shared" si="6"/>
        <v>17</v>
      </c>
      <c r="N76" s="92"/>
      <c r="O76" s="93"/>
    </row>
    <row r="77" spans="1:15" ht="15.75">
      <c r="A77" s="18">
        <f t="shared" si="7"/>
        <v>63</v>
      </c>
      <c r="B77" s="27" t="s">
        <v>12</v>
      </c>
      <c r="C77" s="27">
        <v>13</v>
      </c>
      <c r="D77" s="27" t="s">
        <v>41</v>
      </c>
      <c r="E77" s="20">
        <v>24.27</v>
      </c>
      <c r="F77" s="20">
        <v>12</v>
      </c>
      <c r="G77" s="30">
        <f t="shared" si="2"/>
        <v>9.6000000000000002E-2</v>
      </c>
      <c r="H77" s="20"/>
      <c r="I77" s="20"/>
      <c r="J77" s="15">
        <f t="shared" si="3"/>
        <v>24.173999999999999</v>
      </c>
      <c r="K77" s="15">
        <f t="shared" si="4"/>
        <v>12</v>
      </c>
      <c r="L77" s="16">
        <f t="shared" si="5"/>
        <v>174</v>
      </c>
      <c r="M77" s="17">
        <f t="shared" si="6"/>
        <v>14.5</v>
      </c>
      <c r="N77" s="92"/>
      <c r="O77" s="93"/>
    </row>
    <row r="78" spans="1:15" ht="15.75">
      <c r="A78" s="18">
        <f t="shared" si="7"/>
        <v>64</v>
      </c>
      <c r="B78" s="27" t="s">
        <v>12</v>
      </c>
      <c r="C78" s="27">
        <v>13</v>
      </c>
      <c r="D78" s="29" t="s">
        <v>45</v>
      </c>
      <c r="E78" s="20">
        <v>20.23</v>
      </c>
      <c r="F78" s="20">
        <v>10</v>
      </c>
      <c r="G78" s="30">
        <f t="shared" si="2"/>
        <v>0.08</v>
      </c>
      <c r="H78" s="20">
        <v>2.0099999999999998</v>
      </c>
      <c r="I78" s="20">
        <v>1</v>
      </c>
      <c r="J78" s="15">
        <f t="shared" si="3"/>
        <v>18.14</v>
      </c>
      <c r="K78" s="15">
        <f t="shared" si="4"/>
        <v>9</v>
      </c>
      <c r="L78" s="16">
        <f t="shared" si="5"/>
        <v>150</v>
      </c>
      <c r="M78" s="17">
        <f t="shared" si="6"/>
        <v>15</v>
      </c>
      <c r="N78" s="92" t="s">
        <v>49</v>
      </c>
      <c r="O78" s="93"/>
    </row>
    <row r="79" spans="1:15" ht="15.75">
      <c r="A79" s="18">
        <f t="shared" si="7"/>
        <v>65</v>
      </c>
      <c r="B79" s="27" t="s">
        <v>12</v>
      </c>
      <c r="C79" s="27">
        <v>13</v>
      </c>
      <c r="D79" s="29" t="s">
        <v>44</v>
      </c>
      <c r="E79" s="20">
        <v>20.28</v>
      </c>
      <c r="F79" s="20">
        <v>10</v>
      </c>
      <c r="G79" s="30">
        <f t="shared" si="2"/>
        <v>0.08</v>
      </c>
      <c r="H79" s="20"/>
      <c r="I79" s="20"/>
      <c r="J79" s="15">
        <f t="shared" si="3"/>
        <v>20.200000000000003</v>
      </c>
      <c r="K79" s="15">
        <f t="shared" si="4"/>
        <v>10</v>
      </c>
      <c r="L79" s="16">
        <f t="shared" si="5"/>
        <v>200</v>
      </c>
      <c r="M79" s="17">
        <f t="shared" si="6"/>
        <v>20</v>
      </c>
      <c r="N79" s="92"/>
      <c r="O79" s="93"/>
    </row>
    <row r="80" spans="1:15" ht="15.75">
      <c r="A80" s="18">
        <f t="shared" si="7"/>
        <v>66</v>
      </c>
      <c r="B80" s="27" t="s">
        <v>12</v>
      </c>
      <c r="C80" s="27">
        <v>13</v>
      </c>
      <c r="D80" s="29" t="s">
        <v>48</v>
      </c>
      <c r="E80" s="20">
        <v>20.23</v>
      </c>
      <c r="F80" s="20">
        <v>10</v>
      </c>
      <c r="G80" s="30">
        <f t="shared" si="2"/>
        <v>0.08</v>
      </c>
      <c r="H80" s="20"/>
      <c r="I80" s="20"/>
      <c r="J80" s="15">
        <f t="shared" ref="J80:J143" si="8">+E80-G80-H80</f>
        <v>20.150000000000002</v>
      </c>
      <c r="K80" s="15">
        <f t="shared" ref="K80:K143" si="9">+F80-I80</f>
        <v>10</v>
      </c>
      <c r="L80" s="16">
        <f t="shared" ref="L80:L143" si="10">IF(E80*1000-F80*$E$8=0,0,E80*1000-F80*$E$8)</f>
        <v>150</v>
      </c>
      <c r="M80" s="17">
        <f t="shared" ref="M80:M143" si="11">IF(F80=0,"-",L80/F80)</f>
        <v>15</v>
      </c>
      <c r="N80" s="92"/>
      <c r="O80" s="93"/>
    </row>
    <row r="81" spans="1:15" ht="15.75">
      <c r="A81" s="18">
        <f t="shared" ref="A81:A144" si="12">+A80+1</f>
        <v>67</v>
      </c>
      <c r="B81" s="27" t="s">
        <v>12</v>
      </c>
      <c r="C81" s="27">
        <v>13</v>
      </c>
      <c r="D81" s="29" t="s">
        <v>41</v>
      </c>
      <c r="E81" s="20">
        <v>24.25</v>
      </c>
      <c r="F81" s="20">
        <v>12</v>
      </c>
      <c r="G81" s="30">
        <f t="shared" si="2"/>
        <v>9.6000000000000002E-2</v>
      </c>
      <c r="H81" s="20"/>
      <c r="I81" s="20"/>
      <c r="J81" s="15">
        <f t="shared" si="8"/>
        <v>24.154</v>
      </c>
      <c r="K81" s="15">
        <f t="shared" si="9"/>
        <v>12</v>
      </c>
      <c r="L81" s="16">
        <f t="shared" si="10"/>
        <v>154</v>
      </c>
      <c r="M81" s="17">
        <f t="shared" si="11"/>
        <v>12.833333333333334</v>
      </c>
      <c r="N81" s="92"/>
      <c r="O81" s="93"/>
    </row>
    <row r="82" spans="1:15" ht="15.75">
      <c r="A82" s="18">
        <f t="shared" si="12"/>
        <v>68</v>
      </c>
      <c r="B82" s="27" t="s">
        <v>12</v>
      </c>
      <c r="C82" s="27">
        <v>13</v>
      </c>
      <c r="D82" s="29" t="s">
        <v>45</v>
      </c>
      <c r="E82" s="20">
        <v>20.22</v>
      </c>
      <c r="F82" s="20">
        <v>10</v>
      </c>
      <c r="G82" s="30">
        <f t="shared" si="2"/>
        <v>0.08</v>
      </c>
      <c r="H82" s="20"/>
      <c r="I82" s="20"/>
      <c r="J82" s="15">
        <f t="shared" si="8"/>
        <v>20.14</v>
      </c>
      <c r="K82" s="15">
        <f t="shared" si="9"/>
        <v>10</v>
      </c>
      <c r="L82" s="16">
        <f t="shared" si="10"/>
        <v>140</v>
      </c>
      <c r="M82" s="17">
        <f t="shared" si="11"/>
        <v>14</v>
      </c>
      <c r="N82" s="92"/>
      <c r="O82" s="93"/>
    </row>
    <row r="83" spans="1:15" ht="15.75">
      <c r="A83" s="18">
        <f t="shared" si="12"/>
        <v>69</v>
      </c>
      <c r="B83" s="27" t="s">
        <v>12</v>
      </c>
      <c r="C83" s="27">
        <v>13</v>
      </c>
      <c r="D83" s="46" t="s">
        <v>47</v>
      </c>
      <c r="E83" s="20">
        <v>20.22</v>
      </c>
      <c r="F83" s="20">
        <v>10</v>
      </c>
      <c r="G83" s="30">
        <f t="shared" si="2"/>
        <v>0.08</v>
      </c>
      <c r="H83" s="20"/>
      <c r="I83" s="20"/>
      <c r="J83" s="15">
        <f t="shared" si="8"/>
        <v>20.14</v>
      </c>
      <c r="K83" s="15">
        <f t="shared" si="9"/>
        <v>10</v>
      </c>
      <c r="L83" s="16">
        <f t="shared" si="10"/>
        <v>140</v>
      </c>
      <c r="M83" s="17">
        <f t="shared" si="11"/>
        <v>14</v>
      </c>
      <c r="N83" s="92"/>
      <c r="O83" s="93"/>
    </row>
    <row r="84" spans="1:15" ht="15.75">
      <c r="A84" s="18">
        <f t="shared" si="12"/>
        <v>70</v>
      </c>
      <c r="B84" s="27" t="s">
        <v>12</v>
      </c>
      <c r="C84" s="27">
        <v>13</v>
      </c>
      <c r="D84" s="29" t="s">
        <v>48</v>
      </c>
      <c r="E84" s="15">
        <v>20.25</v>
      </c>
      <c r="F84" s="20">
        <v>10</v>
      </c>
      <c r="G84" s="30">
        <f t="shared" si="2"/>
        <v>0.08</v>
      </c>
      <c r="H84" s="20"/>
      <c r="I84" s="20"/>
      <c r="J84" s="15">
        <f t="shared" si="8"/>
        <v>20.170000000000002</v>
      </c>
      <c r="K84" s="15">
        <f t="shared" si="9"/>
        <v>10</v>
      </c>
      <c r="L84" s="16">
        <f t="shared" si="10"/>
        <v>170</v>
      </c>
      <c r="M84" s="17">
        <f t="shared" si="11"/>
        <v>17</v>
      </c>
      <c r="N84" s="92"/>
      <c r="O84" s="93"/>
    </row>
    <row r="85" spans="1:15" ht="15.75">
      <c r="A85" s="18">
        <f t="shared" si="12"/>
        <v>71</v>
      </c>
      <c r="B85" s="27" t="s">
        <v>12</v>
      </c>
      <c r="C85" s="27">
        <v>13</v>
      </c>
      <c r="D85" s="46" t="s">
        <v>41</v>
      </c>
      <c r="E85" s="20">
        <v>24.29</v>
      </c>
      <c r="F85" s="20">
        <v>12</v>
      </c>
      <c r="G85" s="30">
        <f t="shared" si="2"/>
        <v>9.6000000000000002E-2</v>
      </c>
      <c r="H85" s="20"/>
      <c r="I85" s="20"/>
      <c r="J85" s="15">
        <f t="shared" si="8"/>
        <v>24.193999999999999</v>
      </c>
      <c r="K85" s="15">
        <f t="shared" si="9"/>
        <v>12</v>
      </c>
      <c r="L85" s="16">
        <f t="shared" si="10"/>
        <v>194</v>
      </c>
      <c r="M85" s="17">
        <f t="shared" si="11"/>
        <v>16.166666666666668</v>
      </c>
      <c r="N85" s="92"/>
      <c r="O85" s="93"/>
    </row>
    <row r="86" spans="1:15" ht="15.75">
      <c r="A86" s="18">
        <f t="shared" si="12"/>
        <v>72</v>
      </c>
      <c r="B86" s="27" t="s">
        <v>12</v>
      </c>
      <c r="C86" s="27">
        <v>13</v>
      </c>
      <c r="D86" s="46" t="s">
        <v>45</v>
      </c>
      <c r="E86" s="15">
        <v>20.25</v>
      </c>
      <c r="F86" s="20">
        <v>10</v>
      </c>
      <c r="G86" s="30">
        <f t="shared" si="2"/>
        <v>0.08</v>
      </c>
      <c r="H86" s="20"/>
      <c r="I86" s="20"/>
      <c r="J86" s="15">
        <f t="shared" si="8"/>
        <v>20.170000000000002</v>
      </c>
      <c r="K86" s="15">
        <f t="shared" si="9"/>
        <v>10</v>
      </c>
      <c r="L86" s="16">
        <f t="shared" si="10"/>
        <v>170</v>
      </c>
      <c r="M86" s="17">
        <f t="shared" si="11"/>
        <v>17</v>
      </c>
      <c r="N86" s="92"/>
      <c r="O86" s="93"/>
    </row>
    <row r="87" spans="1:15" ht="15.75">
      <c r="A87" s="18">
        <f t="shared" si="12"/>
        <v>73</v>
      </c>
      <c r="B87" s="27" t="s">
        <v>12</v>
      </c>
      <c r="C87" s="27">
        <v>13</v>
      </c>
      <c r="D87" s="29" t="s">
        <v>44</v>
      </c>
      <c r="E87" s="20">
        <v>20.23</v>
      </c>
      <c r="F87" s="20">
        <v>10</v>
      </c>
      <c r="G87" s="30">
        <f t="shared" si="2"/>
        <v>0.08</v>
      </c>
      <c r="H87" s="20"/>
      <c r="I87" s="20"/>
      <c r="J87" s="15">
        <f t="shared" si="8"/>
        <v>20.150000000000002</v>
      </c>
      <c r="K87" s="15">
        <f t="shared" si="9"/>
        <v>10</v>
      </c>
      <c r="L87" s="16">
        <f t="shared" si="10"/>
        <v>150</v>
      </c>
      <c r="M87" s="17">
        <f t="shared" si="11"/>
        <v>15</v>
      </c>
      <c r="N87" s="92"/>
      <c r="O87" s="93"/>
    </row>
    <row r="88" spans="1:15" ht="15.75">
      <c r="A88" s="18">
        <f t="shared" si="12"/>
        <v>74</v>
      </c>
      <c r="B88" s="27" t="s">
        <v>12</v>
      </c>
      <c r="C88" s="27">
        <v>13</v>
      </c>
      <c r="D88" s="29" t="s">
        <v>48</v>
      </c>
      <c r="E88" s="20">
        <v>20.25</v>
      </c>
      <c r="F88" s="20">
        <v>10</v>
      </c>
      <c r="G88" s="30">
        <f t="shared" si="2"/>
        <v>0.08</v>
      </c>
      <c r="H88" s="20"/>
      <c r="I88" s="20"/>
      <c r="J88" s="15">
        <f t="shared" si="8"/>
        <v>20.170000000000002</v>
      </c>
      <c r="K88" s="15">
        <f t="shared" si="9"/>
        <v>10</v>
      </c>
      <c r="L88" s="16">
        <f t="shared" si="10"/>
        <v>170</v>
      </c>
      <c r="M88" s="17">
        <f t="shared" si="11"/>
        <v>17</v>
      </c>
      <c r="N88" s="92"/>
      <c r="O88" s="93"/>
    </row>
    <row r="89" spans="1:15" ht="15.75">
      <c r="A89" s="18">
        <f t="shared" si="12"/>
        <v>75</v>
      </c>
      <c r="B89" s="27" t="s">
        <v>12</v>
      </c>
      <c r="C89" s="27">
        <v>13</v>
      </c>
      <c r="D89" s="46" t="s">
        <v>41</v>
      </c>
      <c r="E89" s="20">
        <v>24.26</v>
      </c>
      <c r="F89" s="20">
        <v>12</v>
      </c>
      <c r="G89" s="30">
        <f t="shared" si="2"/>
        <v>9.6000000000000002E-2</v>
      </c>
      <c r="H89" s="20"/>
      <c r="I89" s="20"/>
      <c r="J89" s="15">
        <f t="shared" si="8"/>
        <v>24.164000000000001</v>
      </c>
      <c r="K89" s="15">
        <f t="shared" si="9"/>
        <v>12</v>
      </c>
      <c r="L89" s="16">
        <f t="shared" si="10"/>
        <v>164</v>
      </c>
      <c r="M89" s="17">
        <f t="shared" si="11"/>
        <v>13.666666666666666</v>
      </c>
      <c r="N89" s="92"/>
      <c r="O89" s="93"/>
    </row>
    <row r="90" spans="1:15" ht="15.75">
      <c r="A90" s="18">
        <f t="shared" si="12"/>
        <v>76</v>
      </c>
      <c r="B90" s="27" t="s">
        <v>12</v>
      </c>
      <c r="C90" s="27">
        <v>13</v>
      </c>
      <c r="D90" s="46" t="s">
        <v>45</v>
      </c>
      <c r="E90" s="20">
        <v>20.23</v>
      </c>
      <c r="F90" s="20">
        <v>10</v>
      </c>
      <c r="G90" s="30">
        <f t="shared" si="2"/>
        <v>0.08</v>
      </c>
      <c r="H90" s="20"/>
      <c r="I90" s="20"/>
      <c r="J90" s="15">
        <f t="shared" si="8"/>
        <v>20.150000000000002</v>
      </c>
      <c r="K90" s="15">
        <f t="shared" si="9"/>
        <v>10</v>
      </c>
      <c r="L90" s="16">
        <f t="shared" si="10"/>
        <v>150</v>
      </c>
      <c r="M90" s="17">
        <f t="shared" si="11"/>
        <v>15</v>
      </c>
      <c r="N90" s="92"/>
      <c r="O90" s="93"/>
    </row>
    <row r="91" spans="1:15" ht="15.75">
      <c r="A91" s="18">
        <f t="shared" si="12"/>
        <v>77</v>
      </c>
      <c r="B91" s="27" t="s">
        <v>12</v>
      </c>
      <c r="C91" s="27">
        <v>13</v>
      </c>
      <c r="D91" s="46" t="s">
        <v>44</v>
      </c>
      <c r="E91" s="20">
        <v>20.23</v>
      </c>
      <c r="F91" s="20">
        <v>10</v>
      </c>
      <c r="G91" s="30">
        <f t="shared" si="2"/>
        <v>0.08</v>
      </c>
      <c r="H91" s="20"/>
      <c r="I91" s="20"/>
      <c r="J91" s="15">
        <f t="shared" si="8"/>
        <v>20.150000000000002</v>
      </c>
      <c r="K91" s="15">
        <f t="shared" si="9"/>
        <v>10</v>
      </c>
      <c r="L91" s="16">
        <f t="shared" si="10"/>
        <v>150</v>
      </c>
      <c r="M91" s="17">
        <f t="shared" si="11"/>
        <v>15</v>
      </c>
      <c r="N91" s="92"/>
      <c r="O91" s="93"/>
    </row>
    <row r="92" spans="1:15" ht="15.75">
      <c r="A92" s="18">
        <f t="shared" si="12"/>
        <v>78</v>
      </c>
      <c r="B92" s="27" t="s">
        <v>12</v>
      </c>
      <c r="C92" s="27">
        <v>13</v>
      </c>
      <c r="D92" s="29" t="s">
        <v>48</v>
      </c>
      <c r="E92" s="20">
        <v>20.190000000000001</v>
      </c>
      <c r="F92" s="20">
        <v>10</v>
      </c>
      <c r="G92" s="30">
        <f t="shared" si="2"/>
        <v>0.08</v>
      </c>
      <c r="H92" s="20"/>
      <c r="I92" s="20"/>
      <c r="J92" s="15">
        <f t="shared" si="8"/>
        <v>20.110000000000003</v>
      </c>
      <c r="K92" s="15">
        <f t="shared" si="9"/>
        <v>10</v>
      </c>
      <c r="L92" s="16">
        <f t="shared" si="10"/>
        <v>110</v>
      </c>
      <c r="M92" s="17">
        <f t="shared" si="11"/>
        <v>11</v>
      </c>
      <c r="N92" s="92"/>
      <c r="O92" s="93"/>
    </row>
    <row r="93" spans="1:15" ht="15.75">
      <c r="A93" s="18">
        <f t="shared" si="12"/>
        <v>79</v>
      </c>
      <c r="B93" s="27" t="s">
        <v>12</v>
      </c>
      <c r="C93" s="27">
        <v>13</v>
      </c>
      <c r="D93" s="29" t="s">
        <v>41</v>
      </c>
      <c r="E93" s="20">
        <v>24.31</v>
      </c>
      <c r="F93" s="20">
        <v>12</v>
      </c>
      <c r="G93" s="30">
        <f t="shared" si="2"/>
        <v>9.6000000000000002E-2</v>
      </c>
      <c r="H93" s="20"/>
      <c r="I93" s="20"/>
      <c r="J93" s="15">
        <f t="shared" si="8"/>
        <v>24.213999999999999</v>
      </c>
      <c r="K93" s="15">
        <f t="shared" si="9"/>
        <v>12</v>
      </c>
      <c r="L93" s="16">
        <f t="shared" si="10"/>
        <v>214</v>
      </c>
      <c r="M93" s="17">
        <f t="shared" si="11"/>
        <v>17.833333333333332</v>
      </c>
      <c r="N93" s="92"/>
      <c r="O93" s="93"/>
    </row>
    <row r="94" spans="1:15" ht="15.75">
      <c r="A94" s="18">
        <f t="shared" si="12"/>
        <v>80</v>
      </c>
      <c r="B94" s="27" t="s">
        <v>13</v>
      </c>
      <c r="C94" s="27">
        <v>13</v>
      </c>
      <c r="D94" s="29" t="s">
        <v>44</v>
      </c>
      <c r="E94" s="20">
        <v>20.23</v>
      </c>
      <c r="F94" s="20">
        <v>10</v>
      </c>
      <c r="G94" s="30">
        <f t="shared" si="2"/>
        <v>0.08</v>
      </c>
      <c r="H94" s="20"/>
      <c r="I94" s="20"/>
      <c r="J94" s="15">
        <f t="shared" si="8"/>
        <v>20.150000000000002</v>
      </c>
      <c r="K94" s="15">
        <f t="shared" si="9"/>
        <v>10</v>
      </c>
      <c r="L94" s="16">
        <f t="shared" si="10"/>
        <v>150</v>
      </c>
      <c r="M94" s="17">
        <f t="shared" si="11"/>
        <v>15</v>
      </c>
      <c r="N94" s="92"/>
      <c r="O94" s="93"/>
    </row>
    <row r="95" spans="1:15" ht="15.75">
      <c r="A95" s="18">
        <f t="shared" si="12"/>
        <v>81</v>
      </c>
      <c r="B95" s="27" t="s">
        <v>13</v>
      </c>
      <c r="C95" s="27">
        <v>13</v>
      </c>
      <c r="D95" s="29" t="s">
        <v>48</v>
      </c>
      <c r="E95" s="20">
        <v>19.95</v>
      </c>
      <c r="F95" s="20">
        <v>10</v>
      </c>
      <c r="G95" s="30">
        <f t="shared" si="2"/>
        <v>0.08</v>
      </c>
      <c r="H95" s="20"/>
      <c r="I95" s="20"/>
      <c r="J95" s="15">
        <f t="shared" si="8"/>
        <v>19.87</v>
      </c>
      <c r="K95" s="15">
        <f t="shared" si="9"/>
        <v>10</v>
      </c>
      <c r="L95" s="16">
        <f t="shared" si="10"/>
        <v>-130</v>
      </c>
      <c r="M95" s="17">
        <f t="shared" si="11"/>
        <v>-13</v>
      </c>
      <c r="N95" s="92"/>
      <c r="O95" s="93"/>
    </row>
    <row r="96" spans="1:15" ht="15.75">
      <c r="A96" s="18">
        <f t="shared" si="12"/>
        <v>82</v>
      </c>
      <c r="B96" s="27" t="s">
        <v>13</v>
      </c>
      <c r="C96" s="27">
        <v>13</v>
      </c>
      <c r="D96" s="46" t="s">
        <v>45</v>
      </c>
      <c r="E96" s="20">
        <v>20.37</v>
      </c>
      <c r="F96" s="20">
        <v>10</v>
      </c>
      <c r="G96" s="30">
        <f t="shared" si="2"/>
        <v>0.08</v>
      </c>
      <c r="H96" s="20"/>
      <c r="I96" s="20"/>
      <c r="J96" s="15">
        <f t="shared" si="8"/>
        <v>20.290000000000003</v>
      </c>
      <c r="K96" s="15">
        <f t="shared" si="9"/>
        <v>10</v>
      </c>
      <c r="L96" s="16">
        <f t="shared" si="10"/>
        <v>290</v>
      </c>
      <c r="M96" s="17">
        <f t="shared" si="11"/>
        <v>29</v>
      </c>
      <c r="N96" s="92"/>
      <c r="O96" s="93"/>
    </row>
    <row r="97" spans="1:19" ht="15.75">
      <c r="A97" s="18">
        <f t="shared" si="12"/>
        <v>83</v>
      </c>
      <c r="B97" s="27" t="s">
        <v>13</v>
      </c>
      <c r="C97" s="27">
        <v>13</v>
      </c>
      <c r="D97" s="29" t="s">
        <v>41</v>
      </c>
      <c r="E97" s="20">
        <v>24.4</v>
      </c>
      <c r="F97" s="20">
        <v>12</v>
      </c>
      <c r="G97" s="30">
        <f t="shared" si="2"/>
        <v>9.6000000000000002E-2</v>
      </c>
      <c r="H97" s="20"/>
      <c r="I97" s="20"/>
      <c r="J97" s="15">
        <f t="shared" si="8"/>
        <v>24.303999999999998</v>
      </c>
      <c r="K97" s="15">
        <f t="shared" si="9"/>
        <v>12</v>
      </c>
      <c r="L97" s="16">
        <f t="shared" si="10"/>
        <v>304</v>
      </c>
      <c r="M97" s="17">
        <f t="shared" si="11"/>
        <v>25.333333333333332</v>
      </c>
      <c r="N97" s="92"/>
      <c r="O97" s="93"/>
    </row>
    <row r="98" spans="1:19" ht="15.75">
      <c r="A98" s="18">
        <f t="shared" si="12"/>
        <v>84</v>
      </c>
      <c r="B98" s="27" t="s">
        <v>13</v>
      </c>
      <c r="C98" s="27">
        <v>13</v>
      </c>
      <c r="D98" s="29" t="s">
        <v>44</v>
      </c>
      <c r="E98" s="20">
        <v>20.22</v>
      </c>
      <c r="F98" s="20">
        <v>10</v>
      </c>
      <c r="G98" s="30">
        <f t="shared" si="2"/>
        <v>0.08</v>
      </c>
      <c r="H98" s="20"/>
      <c r="I98" s="20"/>
      <c r="J98" s="15">
        <f t="shared" si="8"/>
        <v>20.14</v>
      </c>
      <c r="K98" s="15">
        <f t="shared" si="9"/>
        <v>10</v>
      </c>
      <c r="L98" s="16">
        <f t="shared" si="10"/>
        <v>140</v>
      </c>
      <c r="M98" s="17">
        <f t="shared" si="11"/>
        <v>14</v>
      </c>
      <c r="N98" s="92"/>
      <c r="O98" s="93"/>
    </row>
    <row r="99" spans="1:19" ht="15.75">
      <c r="A99" s="18">
        <f t="shared" si="12"/>
        <v>85</v>
      </c>
      <c r="B99" s="27" t="s">
        <v>13</v>
      </c>
      <c r="C99" s="27">
        <v>13</v>
      </c>
      <c r="D99" s="29" t="s">
        <v>48</v>
      </c>
      <c r="E99" s="20">
        <v>20.309999999999999</v>
      </c>
      <c r="F99" s="20">
        <v>10</v>
      </c>
      <c r="G99" s="30">
        <f t="shared" si="2"/>
        <v>0.08</v>
      </c>
      <c r="H99" s="20"/>
      <c r="I99" s="20"/>
      <c r="J99" s="15">
        <f t="shared" si="8"/>
        <v>20.23</v>
      </c>
      <c r="K99" s="15">
        <f t="shared" si="9"/>
        <v>10</v>
      </c>
      <c r="L99" s="16">
        <f t="shared" si="10"/>
        <v>230</v>
      </c>
      <c r="M99" s="17">
        <f t="shared" si="11"/>
        <v>23</v>
      </c>
      <c r="N99" s="92"/>
      <c r="O99" s="93"/>
    </row>
    <row r="100" spans="1:19" ht="15.75">
      <c r="A100" s="18">
        <f t="shared" si="12"/>
        <v>86</v>
      </c>
      <c r="B100" s="27" t="s">
        <v>13</v>
      </c>
      <c r="C100" s="27">
        <v>13</v>
      </c>
      <c r="D100" s="46" t="s">
        <v>45</v>
      </c>
      <c r="E100" s="20">
        <v>20.3</v>
      </c>
      <c r="F100" s="20">
        <v>10</v>
      </c>
      <c r="G100" s="30">
        <f t="shared" si="2"/>
        <v>0.08</v>
      </c>
      <c r="H100" s="20"/>
      <c r="I100" s="20"/>
      <c r="J100" s="15">
        <f t="shared" si="8"/>
        <v>20.220000000000002</v>
      </c>
      <c r="K100" s="15">
        <f t="shared" si="9"/>
        <v>10</v>
      </c>
      <c r="L100" s="16">
        <f t="shared" si="10"/>
        <v>220</v>
      </c>
      <c r="M100" s="17">
        <f t="shared" si="11"/>
        <v>22</v>
      </c>
      <c r="N100" s="92"/>
      <c r="O100" s="93"/>
    </row>
    <row r="101" spans="1:19" ht="15.75">
      <c r="A101" s="18">
        <f t="shared" si="12"/>
        <v>87</v>
      </c>
      <c r="B101" s="27" t="s">
        <v>13</v>
      </c>
      <c r="C101" s="27">
        <v>13</v>
      </c>
      <c r="D101" s="29" t="s">
        <v>41</v>
      </c>
      <c r="E101" s="20">
        <v>24.23</v>
      </c>
      <c r="F101" s="20">
        <v>12</v>
      </c>
      <c r="G101" s="30">
        <f t="shared" si="2"/>
        <v>9.6000000000000002E-2</v>
      </c>
      <c r="H101" s="20"/>
      <c r="I101" s="20"/>
      <c r="J101" s="15">
        <f t="shared" si="8"/>
        <v>24.134</v>
      </c>
      <c r="K101" s="15">
        <f t="shared" si="9"/>
        <v>12</v>
      </c>
      <c r="L101" s="16">
        <f t="shared" si="10"/>
        <v>134</v>
      </c>
      <c r="M101" s="17">
        <f t="shared" si="11"/>
        <v>11.166666666666666</v>
      </c>
      <c r="N101" s="92"/>
      <c r="O101" s="93"/>
    </row>
    <row r="102" spans="1:19" ht="15.75">
      <c r="A102" s="18">
        <f t="shared" si="12"/>
        <v>88</v>
      </c>
      <c r="B102" s="27" t="s">
        <v>13</v>
      </c>
      <c r="C102" s="27">
        <v>13</v>
      </c>
      <c r="D102" s="19" t="s">
        <v>44</v>
      </c>
      <c r="E102" s="20">
        <v>20.22</v>
      </c>
      <c r="F102" s="20">
        <v>10</v>
      </c>
      <c r="G102" s="30">
        <f t="shared" si="2"/>
        <v>0.08</v>
      </c>
      <c r="H102" s="20"/>
      <c r="I102" s="20"/>
      <c r="J102" s="15">
        <f t="shared" si="8"/>
        <v>20.14</v>
      </c>
      <c r="K102" s="15">
        <f t="shared" si="9"/>
        <v>10</v>
      </c>
      <c r="L102" s="16">
        <f t="shared" si="10"/>
        <v>140</v>
      </c>
      <c r="M102" s="17">
        <f t="shared" si="11"/>
        <v>14</v>
      </c>
      <c r="N102" s="92"/>
      <c r="O102" s="93"/>
    </row>
    <row r="103" spans="1:19" ht="15.75">
      <c r="A103" s="18">
        <f t="shared" si="12"/>
        <v>89</v>
      </c>
      <c r="B103" s="19" t="s">
        <v>13</v>
      </c>
      <c r="C103" s="19">
        <v>13</v>
      </c>
      <c r="D103" s="19" t="s">
        <v>48</v>
      </c>
      <c r="E103" s="20">
        <v>20.25</v>
      </c>
      <c r="F103" s="20">
        <v>10</v>
      </c>
      <c r="G103" s="30">
        <f t="shared" si="2"/>
        <v>0.08</v>
      </c>
      <c r="H103" s="20"/>
      <c r="I103" s="20"/>
      <c r="J103" s="15">
        <f t="shared" si="8"/>
        <v>20.170000000000002</v>
      </c>
      <c r="K103" s="15">
        <f t="shared" si="9"/>
        <v>10</v>
      </c>
      <c r="L103" s="16">
        <f t="shared" si="10"/>
        <v>170</v>
      </c>
      <c r="M103" s="17">
        <f t="shared" si="11"/>
        <v>17</v>
      </c>
      <c r="N103" s="92"/>
      <c r="O103" s="93"/>
    </row>
    <row r="104" spans="1:19" ht="15.75">
      <c r="A104" s="18">
        <f t="shared" si="12"/>
        <v>90</v>
      </c>
      <c r="B104" s="19" t="s">
        <v>13</v>
      </c>
      <c r="C104" s="19">
        <v>13</v>
      </c>
      <c r="D104" s="29" t="s">
        <v>45</v>
      </c>
      <c r="E104" s="20">
        <v>20.260000000000002</v>
      </c>
      <c r="F104" s="20">
        <v>10</v>
      </c>
      <c r="G104" s="30">
        <f t="shared" si="2"/>
        <v>0.08</v>
      </c>
      <c r="H104" s="20"/>
      <c r="I104" s="20"/>
      <c r="J104" s="15">
        <f t="shared" si="8"/>
        <v>20.180000000000003</v>
      </c>
      <c r="K104" s="15">
        <f t="shared" si="9"/>
        <v>10</v>
      </c>
      <c r="L104" s="16">
        <f t="shared" si="10"/>
        <v>180</v>
      </c>
      <c r="M104" s="17">
        <f t="shared" si="11"/>
        <v>18</v>
      </c>
      <c r="N104" s="92"/>
      <c r="O104" s="93"/>
    </row>
    <row r="105" spans="1:19" ht="15.75">
      <c r="A105" s="18">
        <f t="shared" si="12"/>
        <v>91</v>
      </c>
      <c r="B105" s="19" t="s">
        <v>13</v>
      </c>
      <c r="C105" s="19">
        <v>13</v>
      </c>
      <c r="D105" s="19" t="s">
        <v>41</v>
      </c>
      <c r="E105" s="20">
        <v>24.2</v>
      </c>
      <c r="F105" s="20">
        <v>12</v>
      </c>
      <c r="G105" s="30">
        <f t="shared" si="2"/>
        <v>9.6000000000000002E-2</v>
      </c>
      <c r="H105" s="20"/>
      <c r="I105" s="20"/>
      <c r="J105" s="15">
        <f t="shared" si="8"/>
        <v>24.103999999999999</v>
      </c>
      <c r="K105" s="15">
        <f t="shared" si="9"/>
        <v>12</v>
      </c>
      <c r="L105" s="16">
        <f t="shared" si="10"/>
        <v>104</v>
      </c>
      <c r="M105" s="17">
        <f t="shared" si="11"/>
        <v>8.6666666666666661</v>
      </c>
      <c r="N105" s="92"/>
      <c r="O105" s="93"/>
    </row>
    <row r="106" spans="1:19" ht="15.75">
      <c r="A106" s="18">
        <f t="shared" si="12"/>
        <v>92</v>
      </c>
      <c r="B106" s="19" t="s">
        <v>13</v>
      </c>
      <c r="C106" s="19">
        <v>13</v>
      </c>
      <c r="D106" s="19" t="s">
        <v>44</v>
      </c>
      <c r="E106" s="20">
        <v>20.23</v>
      </c>
      <c r="F106" s="20">
        <v>10</v>
      </c>
      <c r="G106" s="30">
        <f t="shared" si="2"/>
        <v>0.08</v>
      </c>
      <c r="H106" s="20"/>
      <c r="I106" s="20"/>
      <c r="J106" s="15">
        <f t="shared" si="8"/>
        <v>20.150000000000002</v>
      </c>
      <c r="K106" s="15">
        <f t="shared" si="9"/>
        <v>10</v>
      </c>
      <c r="L106" s="16">
        <f t="shared" si="10"/>
        <v>150</v>
      </c>
      <c r="M106" s="17">
        <f t="shared" si="11"/>
        <v>15</v>
      </c>
      <c r="N106" s="92"/>
      <c r="O106" s="93"/>
      <c r="S106" s="51"/>
    </row>
    <row r="107" spans="1:19" ht="15.75">
      <c r="A107" s="18">
        <f t="shared" si="12"/>
        <v>93</v>
      </c>
      <c r="B107" s="19" t="s">
        <v>13</v>
      </c>
      <c r="C107" s="19">
        <v>13</v>
      </c>
      <c r="D107" s="19" t="s">
        <v>41</v>
      </c>
      <c r="E107" s="20">
        <v>24.21</v>
      </c>
      <c r="F107" s="20">
        <v>12</v>
      </c>
      <c r="G107" s="30">
        <f t="shared" si="2"/>
        <v>9.6000000000000002E-2</v>
      </c>
      <c r="H107" s="20"/>
      <c r="I107" s="20"/>
      <c r="J107" s="15">
        <f t="shared" si="8"/>
        <v>24.114000000000001</v>
      </c>
      <c r="K107" s="15">
        <f t="shared" si="9"/>
        <v>12</v>
      </c>
      <c r="L107" s="16">
        <f t="shared" si="10"/>
        <v>114</v>
      </c>
      <c r="M107" s="17">
        <f t="shared" si="11"/>
        <v>9.5</v>
      </c>
      <c r="N107" s="92"/>
      <c r="O107" s="93"/>
    </row>
    <row r="108" spans="1:19" ht="15.75">
      <c r="A108" s="18">
        <f t="shared" si="12"/>
        <v>94</v>
      </c>
      <c r="B108" s="19" t="s">
        <v>13</v>
      </c>
      <c r="C108" s="19">
        <v>13</v>
      </c>
      <c r="D108" s="19" t="s">
        <v>45</v>
      </c>
      <c r="E108" s="20">
        <v>20.16</v>
      </c>
      <c r="F108" s="20">
        <v>10</v>
      </c>
      <c r="G108" s="30">
        <f t="shared" si="2"/>
        <v>0.08</v>
      </c>
      <c r="H108" s="20"/>
      <c r="I108" s="20"/>
      <c r="J108" s="15">
        <f t="shared" si="8"/>
        <v>20.080000000000002</v>
      </c>
      <c r="K108" s="15">
        <f t="shared" si="9"/>
        <v>10</v>
      </c>
      <c r="L108" s="16">
        <f t="shared" si="10"/>
        <v>80</v>
      </c>
      <c r="M108" s="17">
        <f t="shared" si="11"/>
        <v>8</v>
      </c>
      <c r="N108" s="92"/>
      <c r="O108" s="93"/>
    </row>
    <row r="109" spans="1:19" ht="15.75">
      <c r="A109" s="18">
        <f t="shared" si="12"/>
        <v>95</v>
      </c>
      <c r="B109" s="19" t="s">
        <v>13</v>
      </c>
      <c r="C109" s="19">
        <v>13</v>
      </c>
      <c r="D109" s="19" t="s">
        <v>48</v>
      </c>
      <c r="E109" s="20">
        <v>20.22</v>
      </c>
      <c r="F109" s="20">
        <v>10</v>
      </c>
      <c r="G109" s="30">
        <f t="shared" si="2"/>
        <v>0.08</v>
      </c>
      <c r="H109" s="20"/>
      <c r="I109" s="20"/>
      <c r="J109" s="15">
        <f t="shared" si="8"/>
        <v>20.14</v>
      </c>
      <c r="K109" s="15">
        <f t="shared" si="9"/>
        <v>10</v>
      </c>
      <c r="L109" s="16">
        <f t="shared" si="10"/>
        <v>140</v>
      </c>
      <c r="M109" s="17">
        <f t="shared" si="11"/>
        <v>14</v>
      </c>
      <c r="N109" s="92"/>
      <c r="O109" s="93"/>
      <c r="R109" s="51"/>
    </row>
    <row r="110" spans="1:19" ht="15.75">
      <c r="A110" s="18">
        <f t="shared" si="12"/>
        <v>96</v>
      </c>
      <c r="B110" s="19" t="s">
        <v>13</v>
      </c>
      <c r="C110" s="19">
        <v>13</v>
      </c>
      <c r="D110" s="19" t="s">
        <v>44</v>
      </c>
      <c r="E110" s="20">
        <v>20.010000000000002</v>
      </c>
      <c r="F110" s="20">
        <v>10</v>
      </c>
      <c r="G110" s="30">
        <f t="shared" si="2"/>
        <v>0.08</v>
      </c>
      <c r="H110" s="20"/>
      <c r="I110" s="20"/>
      <c r="J110" s="15">
        <f t="shared" si="8"/>
        <v>19.930000000000003</v>
      </c>
      <c r="K110" s="15">
        <f t="shared" si="9"/>
        <v>10</v>
      </c>
      <c r="L110" s="16">
        <f t="shared" si="10"/>
        <v>-70</v>
      </c>
      <c r="M110" s="17">
        <f t="shared" si="11"/>
        <v>-7</v>
      </c>
      <c r="N110" s="92"/>
      <c r="O110" s="93"/>
    </row>
    <row r="111" spans="1:19" ht="15.75">
      <c r="A111" s="18">
        <f t="shared" si="12"/>
        <v>97</v>
      </c>
      <c r="B111" s="19" t="s">
        <v>13</v>
      </c>
      <c r="C111" s="19">
        <v>13</v>
      </c>
      <c r="D111" s="19" t="s">
        <v>41</v>
      </c>
      <c r="E111" s="20">
        <v>24.31</v>
      </c>
      <c r="F111" s="20">
        <v>12</v>
      </c>
      <c r="G111" s="30">
        <f t="shared" si="2"/>
        <v>9.6000000000000002E-2</v>
      </c>
      <c r="H111" s="20"/>
      <c r="I111" s="20"/>
      <c r="J111" s="15">
        <f t="shared" si="8"/>
        <v>24.213999999999999</v>
      </c>
      <c r="K111" s="15">
        <f t="shared" si="9"/>
        <v>12</v>
      </c>
      <c r="L111" s="16">
        <f t="shared" si="10"/>
        <v>214</v>
      </c>
      <c r="M111" s="17">
        <f t="shared" si="11"/>
        <v>17.833333333333332</v>
      </c>
      <c r="N111" s="92"/>
      <c r="O111" s="93"/>
    </row>
    <row r="112" spans="1:19" ht="15.75">
      <c r="A112" s="18">
        <f t="shared" si="12"/>
        <v>98</v>
      </c>
      <c r="B112" s="19" t="s">
        <v>13</v>
      </c>
      <c r="C112" s="19">
        <v>13</v>
      </c>
      <c r="D112" s="19" t="s">
        <v>45</v>
      </c>
      <c r="E112" s="20">
        <v>20.37</v>
      </c>
      <c r="F112" s="20">
        <v>10</v>
      </c>
      <c r="G112" s="30">
        <f t="shared" si="2"/>
        <v>0.08</v>
      </c>
      <c r="H112" s="20"/>
      <c r="I112" s="20"/>
      <c r="J112" s="15">
        <f t="shared" si="8"/>
        <v>20.290000000000003</v>
      </c>
      <c r="K112" s="15">
        <f t="shared" si="9"/>
        <v>10</v>
      </c>
      <c r="L112" s="16">
        <f t="shared" si="10"/>
        <v>290</v>
      </c>
      <c r="M112" s="17">
        <f t="shared" si="11"/>
        <v>29</v>
      </c>
      <c r="N112" s="92"/>
      <c r="O112" s="93"/>
    </row>
    <row r="113" spans="1:15" ht="15.75">
      <c r="A113" s="18">
        <f t="shared" si="12"/>
        <v>99</v>
      </c>
      <c r="B113" s="19" t="s">
        <v>13</v>
      </c>
      <c r="C113" s="19">
        <v>13</v>
      </c>
      <c r="D113" s="19" t="s">
        <v>48</v>
      </c>
      <c r="E113" s="20">
        <v>20.420000000000002</v>
      </c>
      <c r="F113" s="20">
        <v>10</v>
      </c>
      <c r="G113" s="30">
        <f t="shared" si="2"/>
        <v>0.08</v>
      </c>
      <c r="H113" s="20"/>
      <c r="I113" s="20"/>
      <c r="J113" s="15">
        <f t="shared" si="8"/>
        <v>20.340000000000003</v>
      </c>
      <c r="K113" s="15">
        <f t="shared" si="9"/>
        <v>10</v>
      </c>
      <c r="L113" s="16">
        <f t="shared" si="10"/>
        <v>340</v>
      </c>
      <c r="M113" s="17">
        <f t="shared" si="11"/>
        <v>34</v>
      </c>
      <c r="N113" s="92"/>
      <c r="O113" s="93"/>
    </row>
    <row r="114" spans="1:15" ht="15.75">
      <c r="A114" s="18">
        <f t="shared" si="12"/>
        <v>100</v>
      </c>
      <c r="B114" s="19" t="s">
        <v>13</v>
      </c>
      <c r="C114" s="19">
        <v>13</v>
      </c>
      <c r="D114" s="19" t="s">
        <v>44</v>
      </c>
      <c r="E114" s="20">
        <v>20.38</v>
      </c>
      <c r="F114" s="20">
        <v>10</v>
      </c>
      <c r="G114" s="30">
        <f t="shared" si="2"/>
        <v>0.08</v>
      </c>
      <c r="H114" s="20"/>
      <c r="I114" s="20"/>
      <c r="J114" s="15">
        <f t="shared" si="8"/>
        <v>20.3</v>
      </c>
      <c r="K114" s="15">
        <f t="shared" si="9"/>
        <v>10</v>
      </c>
      <c r="L114" s="16">
        <f t="shared" si="10"/>
        <v>300</v>
      </c>
      <c r="M114" s="17">
        <f t="shared" si="11"/>
        <v>30</v>
      </c>
      <c r="N114" s="92"/>
      <c r="O114" s="93"/>
    </row>
    <row r="115" spans="1:15" ht="15.75">
      <c r="A115" s="18">
        <f t="shared" si="12"/>
        <v>101</v>
      </c>
      <c r="B115" s="19" t="s">
        <v>13</v>
      </c>
      <c r="C115" s="19">
        <v>13</v>
      </c>
      <c r="D115" s="19" t="s">
        <v>41</v>
      </c>
      <c r="E115" s="20">
        <v>24.44</v>
      </c>
      <c r="F115" s="20">
        <v>12</v>
      </c>
      <c r="G115" s="30">
        <f t="shared" si="2"/>
        <v>9.6000000000000002E-2</v>
      </c>
      <c r="H115" s="20"/>
      <c r="I115" s="20"/>
      <c r="J115" s="15">
        <f t="shared" si="8"/>
        <v>24.344000000000001</v>
      </c>
      <c r="K115" s="15">
        <f t="shared" si="9"/>
        <v>12</v>
      </c>
      <c r="L115" s="16">
        <f t="shared" si="10"/>
        <v>344</v>
      </c>
      <c r="M115" s="17">
        <f t="shared" si="11"/>
        <v>28.666666666666668</v>
      </c>
      <c r="N115" s="92"/>
      <c r="O115" s="93"/>
    </row>
    <row r="116" spans="1:15" ht="15.75">
      <c r="A116" s="18">
        <f t="shared" si="12"/>
        <v>102</v>
      </c>
      <c r="B116" s="19" t="s">
        <v>13</v>
      </c>
      <c r="C116" s="19">
        <v>13</v>
      </c>
      <c r="D116" s="19" t="s">
        <v>45</v>
      </c>
      <c r="E116" s="20">
        <v>20.36</v>
      </c>
      <c r="F116" s="20">
        <v>10</v>
      </c>
      <c r="G116" s="30">
        <f t="shared" si="2"/>
        <v>0.08</v>
      </c>
      <c r="H116" s="20"/>
      <c r="I116" s="20"/>
      <c r="J116" s="15">
        <f t="shared" si="8"/>
        <v>20.28</v>
      </c>
      <c r="K116" s="15">
        <f t="shared" si="9"/>
        <v>10</v>
      </c>
      <c r="L116" s="16">
        <f t="shared" si="10"/>
        <v>280</v>
      </c>
      <c r="M116" s="17">
        <f t="shared" si="11"/>
        <v>28</v>
      </c>
      <c r="N116" s="92"/>
      <c r="O116" s="93"/>
    </row>
    <row r="117" spans="1:15" ht="15.75">
      <c r="A117" s="18">
        <f t="shared" si="12"/>
        <v>103</v>
      </c>
      <c r="B117" s="19" t="s">
        <v>13</v>
      </c>
      <c r="C117" s="19">
        <v>13</v>
      </c>
      <c r="D117" s="19" t="s">
        <v>48</v>
      </c>
      <c r="E117" s="20">
        <v>20.39</v>
      </c>
      <c r="F117" s="20">
        <v>10</v>
      </c>
      <c r="G117" s="30">
        <f t="shared" si="2"/>
        <v>0.08</v>
      </c>
      <c r="H117" s="20"/>
      <c r="I117" s="20"/>
      <c r="J117" s="15">
        <f t="shared" si="8"/>
        <v>20.310000000000002</v>
      </c>
      <c r="K117" s="15">
        <f t="shared" si="9"/>
        <v>10</v>
      </c>
      <c r="L117" s="16">
        <f t="shared" si="10"/>
        <v>310</v>
      </c>
      <c r="M117" s="17">
        <f t="shared" si="11"/>
        <v>31</v>
      </c>
      <c r="N117" s="92"/>
      <c r="O117" s="93"/>
    </row>
    <row r="118" spans="1:15" ht="15.75">
      <c r="A118" s="18">
        <f t="shared" si="12"/>
        <v>104</v>
      </c>
      <c r="B118" s="19" t="s">
        <v>13</v>
      </c>
      <c r="C118" s="19">
        <v>13</v>
      </c>
      <c r="D118" s="19" t="s">
        <v>44</v>
      </c>
      <c r="E118" s="20">
        <v>20.36</v>
      </c>
      <c r="F118" s="20">
        <v>10</v>
      </c>
      <c r="G118" s="30">
        <f t="shared" si="2"/>
        <v>0.08</v>
      </c>
      <c r="H118" s="20"/>
      <c r="I118" s="20"/>
      <c r="J118" s="15">
        <f t="shared" si="8"/>
        <v>20.28</v>
      </c>
      <c r="K118" s="15">
        <f t="shared" si="9"/>
        <v>10</v>
      </c>
      <c r="L118" s="16">
        <f t="shared" si="10"/>
        <v>280</v>
      </c>
      <c r="M118" s="17">
        <f t="shared" si="11"/>
        <v>28</v>
      </c>
      <c r="N118" s="92"/>
      <c r="O118" s="93"/>
    </row>
    <row r="119" spans="1:15" ht="15.75">
      <c r="A119" s="18">
        <f t="shared" si="12"/>
        <v>105</v>
      </c>
      <c r="B119" s="19" t="s">
        <v>13</v>
      </c>
      <c r="C119" s="19">
        <v>13</v>
      </c>
      <c r="D119" s="29" t="s">
        <v>41</v>
      </c>
      <c r="E119" s="20">
        <v>24.44</v>
      </c>
      <c r="F119" s="20">
        <v>12</v>
      </c>
      <c r="G119" s="30">
        <f t="shared" si="2"/>
        <v>9.6000000000000002E-2</v>
      </c>
      <c r="H119" s="20"/>
      <c r="I119" s="20"/>
      <c r="J119" s="15">
        <f t="shared" si="8"/>
        <v>24.344000000000001</v>
      </c>
      <c r="K119" s="15">
        <f t="shared" si="9"/>
        <v>12</v>
      </c>
      <c r="L119" s="16">
        <f t="shared" si="10"/>
        <v>344</v>
      </c>
      <c r="M119" s="17">
        <f t="shared" si="11"/>
        <v>28.666666666666668</v>
      </c>
      <c r="N119" s="96"/>
      <c r="O119" s="93"/>
    </row>
    <row r="120" spans="1:15" ht="15.75">
      <c r="A120" s="18">
        <f t="shared" si="12"/>
        <v>106</v>
      </c>
      <c r="B120" s="19" t="s">
        <v>13</v>
      </c>
      <c r="C120" s="19">
        <v>13</v>
      </c>
      <c r="D120" s="29" t="s">
        <v>45</v>
      </c>
      <c r="E120" s="20">
        <v>20.37</v>
      </c>
      <c r="F120" s="20">
        <v>10</v>
      </c>
      <c r="G120" s="28">
        <f t="shared" si="2"/>
        <v>0.08</v>
      </c>
      <c r="H120" s="20"/>
      <c r="I120" s="20"/>
      <c r="J120" s="15">
        <f t="shared" si="8"/>
        <v>20.290000000000003</v>
      </c>
      <c r="K120" s="15">
        <f t="shared" si="9"/>
        <v>10</v>
      </c>
      <c r="L120" s="16">
        <f t="shared" si="10"/>
        <v>290</v>
      </c>
      <c r="M120" s="17">
        <f t="shared" si="11"/>
        <v>29</v>
      </c>
      <c r="N120" s="92"/>
      <c r="O120" s="93"/>
    </row>
    <row r="121" spans="1:15" ht="15.75">
      <c r="A121" s="18">
        <f t="shared" si="12"/>
        <v>107</v>
      </c>
      <c r="B121" s="19" t="s">
        <v>13</v>
      </c>
      <c r="C121" s="19">
        <v>13</v>
      </c>
      <c r="D121" s="19" t="s">
        <v>48</v>
      </c>
      <c r="E121" s="20">
        <v>20.36</v>
      </c>
      <c r="F121" s="20">
        <v>10</v>
      </c>
      <c r="G121" s="30">
        <f t="shared" ref="G121:G184" si="13">+F121*$E$6/1000</f>
        <v>0.08</v>
      </c>
      <c r="H121" s="20"/>
      <c r="I121" s="20"/>
      <c r="J121" s="15">
        <f t="shared" si="8"/>
        <v>20.28</v>
      </c>
      <c r="K121" s="15">
        <f t="shared" si="9"/>
        <v>10</v>
      </c>
      <c r="L121" s="16">
        <f t="shared" si="10"/>
        <v>280</v>
      </c>
      <c r="M121" s="17">
        <f t="shared" si="11"/>
        <v>28</v>
      </c>
      <c r="N121" s="92"/>
      <c r="O121" s="93"/>
    </row>
    <row r="122" spans="1:15" ht="15.75">
      <c r="A122" s="18">
        <f t="shared" si="12"/>
        <v>108</v>
      </c>
      <c r="B122" s="19" t="s">
        <v>13</v>
      </c>
      <c r="C122" s="19">
        <v>13</v>
      </c>
      <c r="D122" s="19" t="s">
        <v>44</v>
      </c>
      <c r="E122" s="20">
        <v>20.34</v>
      </c>
      <c r="F122" s="20">
        <v>10</v>
      </c>
      <c r="G122" s="30">
        <f t="shared" si="13"/>
        <v>0.08</v>
      </c>
      <c r="H122" s="20"/>
      <c r="I122" s="20"/>
      <c r="J122" s="15">
        <f t="shared" si="8"/>
        <v>20.260000000000002</v>
      </c>
      <c r="K122" s="15">
        <f t="shared" si="9"/>
        <v>10</v>
      </c>
      <c r="L122" s="16">
        <f t="shared" si="10"/>
        <v>260</v>
      </c>
      <c r="M122" s="17">
        <f t="shared" si="11"/>
        <v>26</v>
      </c>
      <c r="N122" s="92"/>
      <c r="O122" s="93"/>
    </row>
    <row r="123" spans="1:15" ht="15.75">
      <c r="A123" s="18">
        <f t="shared" si="12"/>
        <v>109</v>
      </c>
      <c r="B123" s="19" t="s">
        <v>13</v>
      </c>
      <c r="C123" s="19">
        <v>13</v>
      </c>
      <c r="D123" s="19" t="s">
        <v>41</v>
      </c>
      <c r="E123" s="20">
        <v>24.45</v>
      </c>
      <c r="F123" s="20">
        <v>12</v>
      </c>
      <c r="G123" s="30">
        <f t="shared" si="13"/>
        <v>9.6000000000000002E-2</v>
      </c>
      <c r="H123" s="20"/>
      <c r="I123" s="20"/>
      <c r="J123" s="15">
        <f t="shared" si="8"/>
        <v>24.353999999999999</v>
      </c>
      <c r="K123" s="15">
        <f t="shared" si="9"/>
        <v>12</v>
      </c>
      <c r="L123" s="16">
        <f t="shared" si="10"/>
        <v>354</v>
      </c>
      <c r="M123" s="17">
        <f t="shared" si="11"/>
        <v>29.5</v>
      </c>
      <c r="N123" s="92"/>
      <c r="O123" s="93"/>
    </row>
    <row r="124" spans="1:15" ht="15.75">
      <c r="A124" s="18">
        <f t="shared" si="12"/>
        <v>110</v>
      </c>
      <c r="B124" s="19" t="s">
        <v>13</v>
      </c>
      <c r="C124" s="19">
        <v>13</v>
      </c>
      <c r="D124" s="19" t="s">
        <v>45</v>
      </c>
      <c r="E124" s="20">
        <v>20.399999999999999</v>
      </c>
      <c r="F124" s="20">
        <v>10</v>
      </c>
      <c r="G124" s="30">
        <f t="shared" si="13"/>
        <v>0.08</v>
      </c>
      <c r="H124" s="20"/>
      <c r="I124" s="20"/>
      <c r="J124" s="15">
        <f t="shared" si="8"/>
        <v>20.32</v>
      </c>
      <c r="K124" s="15">
        <f t="shared" si="9"/>
        <v>10</v>
      </c>
      <c r="L124" s="16">
        <f t="shared" si="10"/>
        <v>320</v>
      </c>
      <c r="M124" s="17">
        <f t="shared" si="11"/>
        <v>32</v>
      </c>
      <c r="N124" s="92"/>
      <c r="O124" s="93"/>
    </row>
    <row r="125" spans="1:15" ht="15.75">
      <c r="A125" s="18">
        <f t="shared" si="12"/>
        <v>111</v>
      </c>
      <c r="B125" s="19" t="s">
        <v>18</v>
      </c>
      <c r="C125" s="19">
        <v>13</v>
      </c>
      <c r="D125" s="19" t="s">
        <v>48</v>
      </c>
      <c r="E125" s="20">
        <v>20.36</v>
      </c>
      <c r="F125" s="20">
        <v>10</v>
      </c>
      <c r="G125" s="30">
        <f t="shared" si="13"/>
        <v>0.08</v>
      </c>
      <c r="H125" s="20"/>
      <c r="I125" s="20"/>
      <c r="J125" s="15">
        <f t="shared" si="8"/>
        <v>20.28</v>
      </c>
      <c r="K125" s="15">
        <f t="shared" si="9"/>
        <v>10</v>
      </c>
      <c r="L125" s="16">
        <f t="shared" si="10"/>
        <v>280</v>
      </c>
      <c r="M125" s="17">
        <f t="shared" si="11"/>
        <v>28</v>
      </c>
      <c r="N125" s="92"/>
      <c r="O125" s="93"/>
    </row>
    <row r="126" spans="1:15" ht="15.75">
      <c r="A126" s="18">
        <f t="shared" si="12"/>
        <v>112</v>
      </c>
      <c r="B126" s="19" t="s">
        <v>18</v>
      </c>
      <c r="C126" s="19">
        <v>13</v>
      </c>
      <c r="D126" s="29" t="s">
        <v>42</v>
      </c>
      <c r="E126" s="20">
        <v>20.34</v>
      </c>
      <c r="F126" s="20">
        <v>10</v>
      </c>
      <c r="G126" s="30">
        <f t="shared" si="13"/>
        <v>0.08</v>
      </c>
      <c r="H126" s="20"/>
      <c r="I126" s="20"/>
      <c r="J126" s="15">
        <f t="shared" si="8"/>
        <v>20.260000000000002</v>
      </c>
      <c r="K126" s="15">
        <f t="shared" si="9"/>
        <v>10</v>
      </c>
      <c r="L126" s="16">
        <f t="shared" si="10"/>
        <v>260</v>
      </c>
      <c r="M126" s="17">
        <f t="shared" si="11"/>
        <v>26</v>
      </c>
      <c r="N126" s="92"/>
      <c r="O126" s="93"/>
    </row>
    <row r="127" spans="1:15" ht="15.75">
      <c r="A127" s="18">
        <f t="shared" si="12"/>
        <v>113</v>
      </c>
      <c r="B127" s="19" t="s">
        <v>18</v>
      </c>
      <c r="C127" s="19">
        <v>13</v>
      </c>
      <c r="D127" s="19" t="s">
        <v>44</v>
      </c>
      <c r="E127" s="20">
        <v>20.329999999999998</v>
      </c>
      <c r="F127" s="20">
        <v>10</v>
      </c>
      <c r="G127" s="30">
        <f t="shared" si="13"/>
        <v>0.08</v>
      </c>
      <c r="H127" s="20"/>
      <c r="I127" s="20"/>
      <c r="J127" s="15">
        <f t="shared" si="8"/>
        <v>20.25</v>
      </c>
      <c r="K127" s="15">
        <f t="shared" si="9"/>
        <v>10</v>
      </c>
      <c r="L127" s="16">
        <f t="shared" si="10"/>
        <v>250</v>
      </c>
      <c r="M127" s="17">
        <f t="shared" si="11"/>
        <v>25</v>
      </c>
      <c r="N127" s="92"/>
      <c r="O127" s="93"/>
    </row>
    <row r="128" spans="1:15" ht="15.75">
      <c r="A128" s="18">
        <f t="shared" si="12"/>
        <v>114</v>
      </c>
      <c r="B128" s="19" t="s">
        <v>18</v>
      </c>
      <c r="C128" s="19">
        <v>13</v>
      </c>
      <c r="D128" s="19" t="s">
        <v>41</v>
      </c>
      <c r="E128" s="20">
        <v>24.46</v>
      </c>
      <c r="F128" s="20">
        <v>12</v>
      </c>
      <c r="G128" s="30">
        <f t="shared" si="13"/>
        <v>9.6000000000000002E-2</v>
      </c>
      <c r="H128" s="20"/>
      <c r="I128" s="20"/>
      <c r="J128" s="15">
        <f t="shared" si="8"/>
        <v>24.364000000000001</v>
      </c>
      <c r="K128" s="15">
        <f t="shared" si="9"/>
        <v>12</v>
      </c>
      <c r="L128" s="16">
        <f t="shared" si="10"/>
        <v>364</v>
      </c>
      <c r="M128" s="17">
        <f t="shared" si="11"/>
        <v>30.333333333333332</v>
      </c>
      <c r="N128" s="92"/>
      <c r="O128" s="93"/>
    </row>
    <row r="129" spans="1:19" ht="15.75">
      <c r="A129" s="18">
        <f t="shared" si="12"/>
        <v>115</v>
      </c>
      <c r="B129" s="19" t="s">
        <v>18</v>
      </c>
      <c r="C129" s="19">
        <v>13</v>
      </c>
      <c r="D129" s="19" t="s">
        <v>48</v>
      </c>
      <c r="E129" s="20">
        <v>20.39</v>
      </c>
      <c r="F129" s="20">
        <v>10</v>
      </c>
      <c r="G129" s="30">
        <f t="shared" si="13"/>
        <v>0.08</v>
      </c>
      <c r="H129" s="20"/>
      <c r="I129" s="20"/>
      <c r="J129" s="15">
        <f t="shared" si="8"/>
        <v>20.310000000000002</v>
      </c>
      <c r="K129" s="15">
        <f t="shared" si="9"/>
        <v>10</v>
      </c>
      <c r="L129" s="16">
        <f t="shared" si="10"/>
        <v>310</v>
      </c>
      <c r="M129" s="17">
        <f t="shared" si="11"/>
        <v>31</v>
      </c>
      <c r="N129" s="92"/>
      <c r="O129" s="93"/>
    </row>
    <row r="130" spans="1:19" ht="15.75">
      <c r="A130" s="18">
        <f t="shared" si="12"/>
        <v>116</v>
      </c>
      <c r="B130" s="19" t="s">
        <v>18</v>
      </c>
      <c r="C130" s="19">
        <v>13</v>
      </c>
      <c r="D130" s="19" t="s">
        <v>44</v>
      </c>
      <c r="E130" s="20">
        <v>20.350000000000001</v>
      </c>
      <c r="F130" s="20">
        <v>10</v>
      </c>
      <c r="G130" s="30">
        <f t="shared" si="13"/>
        <v>0.08</v>
      </c>
      <c r="H130" s="20"/>
      <c r="I130" s="20"/>
      <c r="J130" s="15">
        <f t="shared" si="8"/>
        <v>20.270000000000003</v>
      </c>
      <c r="K130" s="15">
        <f t="shared" si="9"/>
        <v>10</v>
      </c>
      <c r="L130" s="16">
        <f t="shared" si="10"/>
        <v>270</v>
      </c>
      <c r="M130" s="17">
        <f t="shared" si="11"/>
        <v>27</v>
      </c>
      <c r="N130" s="92"/>
      <c r="O130" s="93"/>
    </row>
    <row r="131" spans="1:19" ht="15.75">
      <c r="A131" s="18">
        <f t="shared" si="12"/>
        <v>117</v>
      </c>
      <c r="B131" s="19" t="s">
        <v>18</v>
      </c>
      <c r="C131" s="19">
        <v>13</v>
      </c>
      <c r="D131" s="19" t="s">
        <v>41</v>
      </c>
      <c r="E131" s="20">
        <v>24.42</v>
      </c>
      <c r="F131" s="20">
        <v>12</v>
      </c>
      <c r="G131" s="30">
        <f t="shared" si="13"/>
        <v>9.6000000000000002E-2</v>
      </c>
      <c r="H131" s="20"/>
      <c r="I131" s="20"/>
      <c r="J131" s="15">
        <f t="shared" si="8"/>
        <v>24.324000000000002</v>
      </c>
      <c r="K131" s="15">
        <f t="shared" si="9"/>
        <v>12</v>
      </c>
      <c r="L131" s="16">
        <f t="shared" si="10"/>
        <v>324</v>
      </c>
      <c r="M131" s="17">
        <f t="shared" si="11"/>
        <v>27</v>
      </c>
      <c r="N131" s="92"/>
      <c r="O131" s="93"/>
    </row>
    <row r="132" spans="1:19" ht="15.75">
      <c r="A132" s="18">
        <f t="shared" si="12"/>
        <v>118</v>
      </c>
      <c r="B132" s="19" t="s">
        <v>18</v>
      </c>
      <c r="C132" s="19">
        <v>13</v>
      </c>
      <c r="D132" s="19" t="s">
        <v>48</v>
      </c>
      <c r="E132" s="20">
        <v>20.350000000000001</v>
      </c>
      <c r="F132" s="20">
        <v>10</v>
      </c>
      <c r="G132" s="30">
        <f t="shared" si="13"/>
        <v>0.08</v>
      </c>
      <c r="H132" s="20"/>
      <c r="I132" s="20"/>
      <c r="J132" s="15">
        <f t="shared" si="8"/>
        <v>20.270000000000003</v>
      </c>
      <c r="K132" s="15">
        <f t="shared" si="9"/>
        <v>10</v>
      </c>
      <c r="L132" s="16">
        <f t="shared" si="10"/>
        <v>270</v>
      </c>
      <c r="M132" s="17">
        <f t="shared" si="11"/>
        <v>27</v>
      </c>
      <c r="N132" s="92"/>
      <c r="O132" s="93"/>
    </row>
    <row r="133" spans="1:19" ht="15.75">
      <c r="A133" s="18">
        <f t="shared" si="12"/>
        <v>119</v>
      </c>
      <c r="B133" s="19" t="s">
        <v>18</v>
      </c>
      <c r="C133" s="19">
        <v>13</v>
      </c>
      <c r="D133" s="29" t="s">
        <v>42</v>
      </c>
      <c r="E133" s="20">
        <v>20.34</v>
      </c>
      <c r="F133" s="20">
        <v>10</v>
      </c>
      <c r="G133" s="30">
        <f t="shared" si="13"/>
        <v>0.08</v>
      </c>
      <c r="H133" s="20"/>
      <c r="I133" s="20"/>
      <c r="J133" s="15">
        <f t="shared" si="8"/>
        <v>20.260000000000002</v>
      </c>
      <c r="K133" s="15">
        <f t="shared" si="9"/>
        <v>10</v>
      </c>
      <c r="L133" s="16">
        <f t="shared" si="10"/>
        <v>260</v>
      </c>
      <c r="M133" s="17">
        <f t="shared" si="11"/>
        <v>26</v>
      </c>
      <c r="N133" s="92"/>
      <c r="O133" s="93"/>
    </row>
    <row r="134" spans="1:19" ht="15.75">
      <c r="A134" s="18">
        <f t="shared" si="12"/>
        <v>120</v>
      </c>
      <c r="B134" s="19" t="s">
        <v>18</v>
      </c>
      <c r="C134" s="19">
        <v>13</v>
      </c>
      <c r="D134" s="19" t="s">
        <v>44</v>
      </c>
      <c r="E134" s="20">
        <v>20.329999999999998</v>
      </c>
      <c r="F134" s="20">
        <v>10</v>
      </c>
      <c r="G134" s="30">
        <f t="shared" si="13"/>
        <v>0.08</v>
      </c>
      <c r="H134" s="20"/>
      <c r="I134" s="20"/>
      <c r="J134" s="15">
        <f t="shared" si="8"/>
        <v>20.25</v>
      </c>
      <c r="K134" s="15">
        <f t="shared" si="9"/>
        <v>10</v>
      </c>
      <c r="L134" s="16">
        <f t="shared" si="10"/>
        <v>250</v>
      </c>
      <c r="M134" s="17">
        <f t="shared" si="11"/>
        <v>25</v>
      </c>
      <c r="N134" s="92"/>
      <c r="O134" s="93"/>
      <c r="S134" s="51"/>
    </row>
    <row r="135" spans="1:19" ht="15.75">
      <c r="A135" s="18">
        <f t="shared" si="12"/>
        <v>121</v>
      </c>
      <c r="B135" s="19" t="s">
        <v>18</v>
      </c>
      <c r="C135" s="19">
        <v>13</v>
      </c>
      <c r="D135" s="19" t="s">
        <v>41</v>
      </c>
      <c r="E135" s="20">
        <v>24.41</v>
      </c>
      <c r="F135" s="20">
        <v>12</v>
      </c>
      <c r="G135" s="30">
        <f t="shared" si="13"/>
        <v>9.6000000000000002E-2</v>
      </c>
      <c r="H135" s="20"/>
      <c r="I135" s="20"/>
      <c r="J135" s="15">
        <f t="shared" si="8"/>
        <v>24.314</v>
      </c>
      <c r="K135" s="15">
        <f t="shared" si="9"/>
        <v>12</v>
      </c>
      <c r="L135" s="16">
        <f t="shared" si="10"/>
        <v>314</v>
      </c>
      <c r="M135" s="17">
        <f t="shared" si="11"/>
        <v>26.166666666666668</v>
      </c>
      <c r="N135" s="92"/>
      <c r="O135" s="93"/>
    </row>
    <row r="136" spans="1:19" ht="15.75">
      <c r="A136" s="18">
        <f t="shared" si="12"/>
        <v>122</v>
      </c>
      <c r="B136" s="19" t="s">
        <v>18</v>
      </c>
      <c r="C136" s="19">
        <v>18</v>
      </c>
      <c r="D136" s="19" t="s">
        <v>42</v>
      </c>
      <c r="E136" s="20">
        <v>20.350000000000001</v>
      </c>
      <c r="F136" s="20">
        <v>10</v>
      </c>
      <c r="G136" s="30">
        <f t="shared" si="13"/>
        <v>0.08</v>
      </c>
      <c r="H136" s="20"/>
      <c r="I136" s="20"/>
      <c r="J136" s="15">
        <f t="shared" si="8"/>
        <v>20.270000000000003</v>
      </c>
      <c r="K136" s="15">
        <f t="shared" si="9"/>
        <v>10</v>
      </c>
      <c r="L136" s="16">
        <f t="shared" si="10"/>
        <v>270</v>
      </c>
      <c r="M136" s="17">
        <f t="shared" si="11"/>
        <v>27</v>
      </c>
      <c r="N136" s="92"/>
      <c r="O136" s="93"/>
    </row>
    <row r="137" spans="1:19" ht="15.75">
      <c r="A137" s="18">
        <f t="shared" si="12"/>
        <v>123</v>
      </c>
      <c r="B137" s="19" t="s">
        <v>18</v>
      </c>
      <c r="C137" s="19">
        <v>18</v>
      </c>
      <c r="D137" s="19" t="s">
        <v>47</v>
      </c>
      <c r="E137" s="20">
        <v>20.38</v>
      </c>
      <c r="F137" s="20">
        <v>10</v>
      </c>
      <c r="G137" s="30">
        <f t="shared" si="13"/>
        <v>0.08</v>
      </c>
      <c r="H137" s="20"/>
      <c r="I137" s="20"/>
      <c r="J137" s="15">
        <f t="shared" si="8"/>
        <v>20.3</v>
      </c>
      <c r="K137" s="15">
        <f t="shared" si="9"/>
        <v>10</v>
      </c>
      <c r="L137" s="16">
        <f t="shared" si="10"/>
        <v>300</v>
      </c>
      <c r="M137" s="17">
        <f t="shared" si="11"/>
        <v>30</v>
      </c>
      <c r="N137" s="92"/>
      <c r="O137" s="93"/>
    </row>
    <row r="138" spans="1:19" ht="15.75">
      <c r="A138" s="18">
        <f t="shared" si="12"/>
        <v>124</v>
      </c>
      <c r="B138" s="19" t="s">
        <v>18</v>
      </c>
      <c r="C138" s="19">
        <v>18</v>
      </c>
      <c r="D138" s="29" t="s">
        <v>41</v>
      </c>
      <c r="E138" s="20">
        <v>24.48</v>
      </c>
      <c r="F138" s="20">
        <v>12</v>
      </c>
      <c r="G138" s="30">
        <f t="shared" si="13"/>
        <v>9.6000000000000002E-2</v>
      </c>
      <c r="H138" s="20"/>
      <c r="I138" s="20"/>
      <c r="J138" s="15">
        <f t="shared" si="8"/>
        <v>24.384</v>
      </c>
      <c r="K138" s="15">
        <f t="shared" si="9"/>
        <v>12</v>
      </c>
      <c r="L138" s="16">
        <f t="shared" si="10"/>
        <v>384</v>
      </c>
      <c r="M138" s="17">
        <f t="shared" si="11"/>
        <v>32</v>
      </c>
      <c r="N138" s="92"/>
      <c r="O138" s="93"/>
    </row>
    <row r="139" spans="1:19" ht="15.75">
      <c r="A139" s="18">
        <f t="shared" si="12"/>
        <v>125</v>
      </c>
      <c r="B139" s="19" t="s">
        <v>18</v>
      </c>
      <c r="C139" s="19">
        <v>18</v>
      </c>
      <c r="D139" s="19" t="s">
        <v>48</v>
      </c>
      <c r="E139" s="20">
        <v>20.39</v>
      </c>
      <c r="F139" s="20">
        <v>10</v>
      </c>
      <c r="G139" s="30">
        <f t="shared" si="13"/>
        <v>0.08</v>
      </c>
      <c r="H139" s="20"/>
      <c r="I139" s="20"/>
      <c r="J139" s="15">
        <f t="shared" si="8"/>
        <v>20.310000000000002</v>
      </c>
      <c r="K139" s="15">
        <f t="shared" si="9"/>
        <v>10</v>
      </c>
      <c r="L139" s="16">
        <f t="shared" si="10"/>
        <v>310</v>
      </c>
      <c r="M139" s="17">
        <f t="shared" si="11"/>
        <v>31</v>
      </c>
      <c r="N139" s="92"/>
      <c r="O139" s="93"/>
      <c r="R139" s="51"/>
    </row>
    <row r="140" spans="1:19" ht="15.75">
      <c r="A140" s="18">
        <f t="shared" si="12"/>
        <v>126</v>
      </c>
      <c r="B140" s="19" t="s">
        <v>18</v>
      </c>
      <c r="C140" s="19">
        <v>18</v>
      </c>
      <c r="D140" s="19" t="s">
        <v>42</v>
      </c>
      <c r="E140" s="20">
        <v>20.329999999999998</v>
      </c>
      <c r="F140" s="20">
        <v>10</v>
      </c>
      <c r="G140" s="30">
        <f t="shared" si="13"/>
        <v>0.08</v>
      </c>
      <c r="H140" s="20"/>
      <c r="I140" s="20"/>
      <c r="J140" s="15">
        <f t="shared" si="8"/>
        <v>20.25</v>
      </c>
      <c r="K140" s="15">
        <f t="shared" si="9"/>
        <v>10</v>
      </c>
      <c r="L140" s="16">
        <f t="shared" si="10"/>
        <v>250</v>
      </c>
      <c r="M140" s="17">
        <f t="shared" si="11"/>
        <v>25</v>
      </c>
      <c r="N140" s="92"/>
      <c r="O140" s="93"/>
    </row>
    <row r="141" spans="1:19" ht="15.75">
      <c r="A141" s="18">
        <f t="shared" si="12"/>
        <v>127</v>
      </c>
      <c r="B141" s="19" t="s">
        <v>18</v>
      </c>
      <c r="C141" s="19">
        <v>18</v>
      </c>
      <c r="D141" s="29" t="s">
        <v>47</v>
      </c>
      <c r="E141" s="20">
        <v>20.36</v>
      </c>
      <c r="F141" s="20">
        <v>10</v>
      </c>
      <c r="G141" s="30">
        <f t="shared" si="13"/>
        <v>0.08</v>
      </c>
      <c r="H141" s="20"/>
      <c r="I141" s="20"/>
      <c r="J141" s="15">
        <f t="shared" si="8"/>
        <v>20.28</v>
      </c>
      <c r="K141" s="15">
        <f t="shared" si="9"/>
        <v>10</v>
      </c>
      <c r="L141" s="16">
        <f t="shared" si="10"/>
        <v>280</v>
      </c>
      <c r="M141" s="17">
        <f t="shared" si="11"/>
        <v>28</v>
      </c>
      <c r="N141" s="92"/>
      <c r="O141" s="93"/>
    </row>
    <row r="142" spans="1:19" ht="15.75">
      <c r="A142" s="18">
        <f t="shared" si="12"/>
        <v>128</v>
      </c>
      <c r="B142" s="19" t="s">
        <v>18</v>
      </c>
      <c r="C142" s="19">
        <v>18</v>
      </c>
      <c r="D142" s="19" t="s">
        <v>41</v>
      </c>
      <c r="E142" s="20">
        <v>24.44</v>
      </c>
      <c r="F142" s="20">
        <v>12</v>
      </c>
      <c r="G142" s="30">
        <f t="shared" si="13"/>
        <v>9.6000000000000002E-2</v>
      </c>
      <c r="H142" s="20"/>
      <c r="I142" s="20"/>
      <c r="J142" s="15">
        <f t="shared" si="8"/>
        <v>24.344000000000001</v>
      </c>
      <c r="K142" s="15">
        <f t="shared" si="9"/>
        <v>12</v>
      </c>
      <c r="L142" s="16">
        <f t="shared" si="10"/>
        <v>344</v>
      </c>
      <c r="M142" s="17">
        <f t="shared" si="11"/>
        <v>28.666666666666668</v>
      </c>
      <c r="N142" s="92"/>
      <c r="O142" s="93"/>
    </row>
    <row r="143" spans="1:19" ht="15.75">
      <c r="A143" s="18">
        <f t="shared" si="12"/>
        <v>129</v>
      </c>
      <c r="B143" s="19" t="s">
        <v>18</v>
      </c>
      <c r="C143" s="19">
        <v>18</v>
      </c>
      <c r="D143" s="19" t="s">
        <v>48</v>
      </c>
      <c r="E143" s="20">
        <v>20.309999999999999</v>
      </c>
      <c r="F143" s="20">
        <v>10</v>
      </c>
      <c r="G143" s="30">
        <f t="shared" si="13"/>
        <v>0.08</v>
      </c>
      <c r="H143" s="20"/>
      <c r="I143" s="20"/>
      <c r="J143" s="15">
        <f t="shared" si="8"/>
        <v>20.23</v>
      </c>
      <c r="K143" s="15">
        <f t="shared" si="9"/>
        <v>10</v>
      </c>
      <c r="L143" s="16">
        <f t="shared" si="10"/>
        <v>230</v>
      </c>
      <c r="M143" s="17">
        <f t="shared" si="11"/>
        <v>23</v>
      </c>
      <c r="N143" s="92"/>
      <c r="O143" s="93"/>
    </row>
    <row r="144" spans="1:19" ht="15.75">
      <c r="A144" s="18">
        <f t="shared" si="12"/>
        <v>130</v>
      </c>
      <c r="B144" s="19" t="s">
        <v>18</v>
      </c>
      <c r="C144" s="19">
        <v>18</v>
      </c>
      <c r="D144" s="29" t="s">
        <v>42</v>
      </c>
      <c r="E144" s="20">
        <v>20.329999999999998</v>
      </c>
      <c r="F144" s="20">
        <v>10</v>
      </c>
      <c r="G144" s="30">
        <f t="shared" si="13"/>
        <v>0.08</v>
      </c>
      <c r="H144" s="20"/>
      <c r="I144" s="20"/>
      <c r="J144" s="15">
        <f t="shared" ref="J144:J207" si="14">+E144-G144-H144</f>
        <v>20.25</v>
      </c>
      <c r="K144" s="15">
        <f t="shared" ref="K144:K207" si="15">+F144-I144</f>
        <v>10</v>
      </c>
      <c r="L144" s="16">
        <f t="shared" ref="L144:L207" si="16">IF(E144*1000-F144*$E$8=0,0,E144*1000-F144*$E$8)</f>
        <v>250</v>
      </c>
      <c r="M144" s="17">
        <f t="shared" ref="M144:M207" si="17">IF(F144=0,"-",L144/F144)</f>
        <v>25</v>
      </c>
      <c r="N144" s="92"/>
      <c r="O144" s="93"/>
    </row>
    <row r="145" spans="1:15" ht="15.75">
      <c r="A145" s="18">
        <f t="shared" ref="A145:A208" si="18">+A144+1</f>
        <v>131</v>
      </c>
      <c r="B145" s="19" t="s">
        <v>18</v>
      </c>
      <c r="C145" s="19">
        <v>18</v>
      </c>
      <c r="D145" s="19" t="s">
        <v>47</v>
      </c>
      <c r="E145" s="20">
        <v>20.34</v>
      </c>
      <c r="F145" s="20">
        <v>10</v>
      </c>
      <c r="G145" s="30">
        <f t="shared" si="13"/>
        <v>0.08</v>
      </c>
      <c r="H145" s="20"/>
      <c r="I145" s="20"/>
      <c r="J145" s="15">
        <f t="shared" si="14"/>
        <v>20.260000000000002</v>
      </c>
      <c r="K145" s="15">
        <f t="shared" si="15"/>
        <v>10</v>
      </c>
      <c r="L145" s="16">
        <f t="shared" si="16"/>
        <v>260</v>
      </c>
      <c r="M145" s="17">
        <f t="shared" si="17"/>
        <v>26</v>
      </c>
      <c r="N145" s="92"/>
      <c r="O145" s="93"/>
    </row>
    <row r="146" spans="1:15" ht="15.75">
      <c r="A146" s="18">
        <f t="shared" si="18"/>
        <v>132</v>
      </c>
      <c r="B146" s="19" t="s">
        <v>18</v>
      </c>
      <c r="C146" s="19">
        <v>18</v>
      </c>
      <c r="D146" s="19" t="s">
        <v>41</v>
      </c>
      <c r="E146" s="20">
        <v>24.49</v>
      </c>
      <c r="F146" s="20">
        <v>12</v>
      </c>
      <c r="G146" s="30">
        <f t="shared" si="13"/>
        <v>9.6000000000000002E-2</v>
      </c>
      <c r="H146" s="20"/>
      <c r="I146" s="20"/>
      <c r="J146" s="15">
        <f t="shared" si="14"/>
        <v>24.393999999999998</v>
      </c>
      <c r="K146" s="15">
        <f t="shared" si="15"/>
        <v>12</v>
      </c>
      <c r="L146" s="16">
        <f t="shared" si="16"/>
        <v>394</v>
      </c>
      <c r="M146" s="17">
        <f t="shared" si="17"/>
        <v>32.833333333333336</v>
      </c>
      <c r="N146" s="92"/>
      <c r="O146" s="93"/>
    </row>
    <row r="147" spans="1:15" ht="15.75">
      <c r="A147" s="18">
        <f t="shared" si="18"/>
        <v>133</v>
      </c>
      <c r="B147" s="19" t="s">
        <v>18</v>
      </c>
      <c r="C147" s="19">
        <v>18</v>
      </c>
      <c r="D147" s="29" t="s">
        <v>48</v>
      </c>
      <c r="E147" s="20">
        <v>20.350000000000001</v>
      </c>
      <c r="F147" s="20">
        <v>10</v>
      </c>
      <c r="G147" s="30">
        <f t="shared" si="13"/>
        <v>0.08</v>
      </c>
      <c r="H147" s="20"/>
      <c r="I147" s="20"/>
      <c r="J147" s="15">
        <f t="shared" si="14"/>
        <v>20.270000000000003</v>
      </c>
      <c r="K147" s="15">
        <f t="shared" si="15"/>
        <v>10</v>
      </c>
      <c r="L147" s="16">
        <f t="shared" si="16"/>
        <v>270</v>
      </c>
      <c r="M147" s="17">
        <f t="shared" si="17"/>
        <v>27</v>
      </c>
      <c r="N147" s="92"/>
      <c r="O147" s="93"/>
    </row>
    <row r="148" spans="1:15" ht="15.75">
      <c r="A148" s="18">
        <f t="shared" si="18"/>
        <v>134</v>
      </c>
      <c r="B148" s="19" t="s">
        <v>18</v>
      </c>
      <c r="C148" s="19">
        <v>18</v>
      </c>
      <c r="D148" s="19" t="s">
        <v>42</v>
      </c>
      <c r="E148" s="20">
        <v>20.329999999999998</v>
      </c>
      <c r="F148" s="20">
        <v>10</v>
      </c>
      <c r="G148" s="30">
        <f t="shared" si="13"/>
        <v>0.08</v>
      </c>
      <c r="H148" s="20"/>
      <c r="I148" s="20"/>
      <c r="J148" s="15">
        <f t="shared" si="14"/>
        <v>20.25</v>
      </c>
      <c r="K148" s="15">
        <f t="shared" si="15"/>
        <v>10</v>
      </c>
      <c r="L148" s="16">
        <f t="shared" si="16"/>
        <v>250</v>
      </c>
      <c r="M148" s="17">
        <f t="shared" si="17"/>
        <v>25</v>
      </c>
      <c r="N148" s="92"/>
      <c r="O148" s="93"/>
    </row>
    <row r="149" spans="1:15" ht="15.75">
      <c r="A149" s="18">
        <f t="shared" si="18"/>
        <v>135</v>
      </c>
      <c r="B149" s="19" t="s">
        <v>18</v>
      </c>
      <c r="C149" s="19">
        <v>18</v>
      </c>
      <c r="D149" s="19" t="s">
        <v>47</v>
      </c>
      <c r="E149" s="20">
        <v>20.37</v>
      </c>
      <c r="F149" s="20">
        <v>10</v>
      </c>
      <c r="G149" s="30">
        <f t="shared" si="13"/>
        <v>0.08</v>
      </c>
      <c r="H149" s="20"/>
      <c r="I149" s="20"/>
      <c r="J149" s="15">
        <f t="shared" si="14"/>
        <v>20.290000000000003</v>
      </c>
      <c r="K149" s="15">
        <f t="shared" si="15"/>
        <v>10</v>
      </c>
      <c r="L149" s="16">
        <f t="shared" si="16"/>
        <v>290</v>
      </c>
      <c r="M149" s="17">
        <f t="shared" si="17"/>
        <v>29</v>
      </c>
      <c r="N149" s="92"/>
      <c r="O149" s="93"/>
    </row>
    <row r="150" spans="1:15" ht="15.75">
      <c r="A150" s="18">
        <f t="shared" si="18"/>
        <v>136</v>
      </c>
      <c r="B150" s="19" t="s">
        <v>18</v>
      </c>
      <c r="C150" s="19">
        <v>18</v>
      </c>
      <c r="D150" s="29" t="s">
        <v>41</v>
      </c>
      <c r="E150" s="20">
        <v>24.47</v>
      </c>
      <c r="F150" s="20">
        <v>12</v>
      </c>
      <c r="G150" s="30">
        <f t="shared" si="13"/>
        <v>9.6000000000000002E-2</v>
      </c>
      <c r="H150" s="20"/>
      <c r="I150" s="20"/>
      <c r="J150" s="15">
        <f t="shared" si="14"/>
        <v>24.373999999999999</v>
      </c>
      <c r="K150" s="15">
        <f t="shared" si="15"/>
        <v>12</v>
      </c>
      <c r="L150" s="16">
        <f t="shared" si="16"/>
        <v>374</v>
      </c>
      <c r="M150" s="17">
        <f t="shared" si="17"/>
        <v>31.166666666666668</v>
      </c>
      <c r="N150" s="92"/>
      <c r="O150" s="93"/>
    </row>
    <row r="151" spans="1:15" ht="15.75">
      <c r="A151" s="18">
        <f t="shared" si="18"/>
        <v>137</v>
      </c>
      <c r="B151" s="19" t="s">
        <v>18</v>
      </c>
      <c r="C151" s="19">
        <v>18</v>
      </c>
      <c r="D151" s="29" t="s">
        <v>48</v>
      </c>
      <c r="E151" s="20">
        <v>20.34</v>
      </c>
      <c r="F151" s="20">
        <v>10</v>
      </c>
      <c r="G151" s="30">
        <f t="shared" si="13"/>
        <v>0.08</v>
      </c>
      <c r="H151" s="20">
        <v>2.02</v>
      </c>
      <c r="I151" s="20">
        <v>1</v>
      </c>
      <c r="J151" s="15">
        <f t="shared" si="14"/>
        <v>18.240000000000002</v>
      </c>
      <c r="K151" s="15">
        <f t="shared" si="15"/>
        <v>9</v>
      </c>
      <c r="L151" s="16">
        <f t="shared" si="16"/>
        <v>260</v>
      </c>
      <c r="M151" s="17">
        <f t="shared" si="17"/>
        <v>26</v>
      </c>
      <c r="N151" s="92"/>
      <c r="O151" s="93"/>
    </row>
    <row r="152" spans="1:15" ht="15.75">
      <c r="A152" s="18">
        <f t="shared" si="18"/>
        <v>138</v>
      </c>
      <c r="B152" s="19" t="s">
        <v>18</v>
      </c>
      <c r="C152" s="19">
        <v>18</v>
      </c>
      <c r="D152" s="19" t="s">
        <v>42</v>
      </c>
      <c r="E152" s="20">
        <v>20.399999999999999</v>
      </c>
      <c r="F152" s="20">
        <v>10</v>
      </c>
      <c r="G152" s="30">
        <f t="shared" si="13"/>
        <v>0.08</v>
      </c>
      <c r="H152" s="20"/>
      <c r="I152" s="20"/>
      <c r="J152" s="15">
        <f t="shared" si="14"/>
        <v>20.32</v>
      </c>
      <c r="K152" s="15">
        <f t="shared" si="15"/>
        <v>10</v>
      </c>
      <c r="L152" s="16">
        <f t="shared" si="16"/>
        <v>320</v>
      </c>
      <c r="M152" s="17">
        <f t="shared" si="17"/>
        <v>32</v>
      </c>
      <c r="N152" s="92"/>
      <c r="O152" s="93"/>
    </row>
    <row r="153" spans="1:15" ht="15.75">
      <c r="A153" s="18">
        <f t="shared" si="18"/>
        <v>139</v>
      </c>
      <c r="B153" s="19" t="s">
        <v>18</v>
      </c>
      <c r="C153" s="19">
        <v>18</v>
      </c>
      <c r="D153" s="29" t="s">
        <v>47</v>
      </c>
      <c r="E153" s="20">
        <v>20.41</v>
      </c>
      <c r="F153" s="20">
        <v>10</v>
      </c>
      <c r="G153" s="30">
        <f t="shared" si="13"/>
        <v>0.08</v>
      </c>
      <c r="H153" s="20"/>
      <c r="I153" s="20"/>
      <c r="J153" s="15">
        <f t="shared" si="14"/>
        <v>20.330000000000002</v>
      </c>
      <c r="K153" s="15">
        <f t="shared" si="15"/>
        <v>10</v>
      </c>
      <c r="L153" s="16">
        <f t="shared" si="16"/>
        <v>330</v>
      </c>
      <c r="M153" s="17">
        <f t="shared" si="17"/>
        <v>33</v>
      </c>
      <c r="N153" s="92"/>
      <c r="O153" s="93"/>
    </row>
    <row r="154" spans="1:15" ht="15.75">
      <c r="A154" s="18">
        <f t="shared" si="18"/>
        <v>140</v>
      </c>
      <c r="B154" s="19" t="s">
        <v>18</v>
      </c>
      <c r="C154" s="19">
        <v>18</v>
      </c>
      <c r="D154" s="19" t="s">
        <v>41</v>
      </c>
      <c r="E154" s="20">
        <v>24.45</v>
      </c>
      <c r="F154" s="20">
        <v>12</v>
      </c>
      <c r="G154" s="30">
        <f t="shared" si="13"/>
        <v>9.6000000000000002E-2</v>
      </c>
      <c r="H154" s="20"/>
      <c r="I154" s="20"/>
      <c r="J154" s="15">
        <f t="shared" si="14"/>
        <v>24.353999999999999</v>
      </c>
      <c r="K154" s="15">
        <f t="shared" si="15"/>
        <v>12</v>
      </c>
      <c r="L154" s="16">
        <f t="shared" si="16"/>
        <v>354</v>
      </c>
      <c r="M154" s="17">
        <f t="shared" si="17"/>
        <v>29.5</v>
      </c>
      <c r="N154" s="92"/>
      <c r="O154" s="93"/>
    </row>
    <row r="155" spans="1:15" ht="15.75">
      <c r="A155" s="18">
        <f t="shared" si="18"/>
        <v>141</v>
      </c>
      <c r="B155" s="19" t="s">
        <v>18</v>
      </c>
      <c r="C155" s="19">
        <v>18</v>
      </c>
      <c r="D155" s="29" t="s">
        <v>48</v>
      </c>
      <c r="E155" s="20">
        <v>20.34</v>
      </c>
      <c r="F155" s="20">
        <v>10</v>
      </c>
      <c r="G155" s="30">
        <f t="shared" si="13"/>
        <v>0.08</v>
      </c>
      <c r="H155" s="20"/>
      <c r="I155" s="20"/>
      <c r="J155" s="15">
        <f t="shared" si="14"/>
        <v>20.260000000000002</v>
      </c>
      <c r="K155" s="15">
        <f t="shared" si="15"/>
        <v>10</v>
      </c>
      <c r="L155" s="16">
        <f t="shared" si="16"/>
        <v>260</v>
      </c>
      <c r="M155" s="17">
        <f t="shared" si="17"/>
        <v>26</v>
      </c>
      <c r="N155" s="92"/>
      <c r="O155" s="93"/>
    </row>
    <row r="156" spans="1:15" ht="15.75">
      <c r="A156" s="18">
        <f t="shared" si="18"/>
        <v>142</v>
      </c>
      <c r="B156" s="19" t="s">
        <v>18</v>
      </c>
      <c r="C156" s="19">
        <v>18</v>
      </c>
      <c r="D156" s="19" t="s">
        <v>42</v>
      </c>
      <c r="E156" s="20">
        <v>20.329999999999998</v>
      </c>
      <c r="F156" s="20">
        <v>10</v>
      </c>
      <c r="G156" s="30">
        <f t="shared" si="13"/>
        <v>0.08</v>
      </c>
      <c r="H156" s="20"/>
      <c r="I156" s="20"/>
      <c r="J156" s="15">
        <f t="shared" si="14"/>
        <v>20.25</v>
      </c>
      <c r="K156" s="15">
        <f t="shared" si="15"/>
        <v>10</v>
      </c>
      <c r="L156" s="16">
        <f t="shared" si="16"/>
        <v>250</v>
      </c>
      <c r="M156" s="17">
        <f t="shared" si="17"/>
        <v>25</v>
      </c>
      <c r="N156" s="92"/>
      <c r="O156" s="93"/>
    </row>
    <row r="157" spans="1:15" ht="15.75">
      <c r="A157" s="18">
        <f t="shared" si="18"/>
        <v>143</v>
      </c>
      <c r="B157" s="19" t="s">
        <v>18</v>
      </c>
      <c r="C157" s="19">
        <v>18</v>
      </c>
      <c r="D157" s="29" t="s">
        <v>47</v>
      </c>
      <c r="E157" s="20">
        <v>20.36</v>
      </c>
      <c r="F157" s="20">
        <v>10</v>
      </c>
      <c r="G157" s="30">
        <f t="shared" si="13"/>
        <v>0.08</v>
      </c>
      <c r="H157" s="20"/>
      <c r="I157" s="20"/>
      <c r="J157" s="15">
        <f t="shared" si="14"/>
        <v>20.28</v>
      </c>
      <c r="K157" s="15">
        <f t="shared" si="15"/>
        <v>10</v>
      </c>
      <c r="L157" s="16">
        <f t="shared" si="16"/>
        <v>280</v>
      </c>
      <c r="M157" s="17">
        <f t="shared" si="17"/>
        <v>28</v>
      </c>
      <c r="N157" s="92"/>
      <c r="O157" s="93"/>
    </row>
    <row r="158" spans="1:15" ht="15.75">
      <c r="A158" s="18">
        <f t="shared" si="18"/>
        <v>144</v>
      </c>
      <c r="B158" s="19" t="s">
        <v>12</v>
      </c>
      <c r="C158" s="19">
        <v>19</v>
      </c>
      <c r="D158" s="29" t="s">
        <v>41</v>
      </c>
      <c r="E158" s="20">
        <v>24.4</v>
      </c>
      <c r="F158" s="20">
        <v>12</v>
      </c>
      <c r="G158" s="30">
        <f t="shared" si="13"/>
        <v>9.6000000000000002E-2</v>
      </c>
      <c r="H158" s="20"/>
      <c r="I158" s="20"/>
      <c r="J158" s="15">
        <f t="shared" si="14"/>
        <v>24.303999999999998</v>
      </c>
      <c r="K158" s="15">
        <f t="shared" si="15"/>
        <v>12</v>
      </c>
      <c r="L158" s="16">
        <f t="shared" si="16"/>
        <v>304</v>
      </c>
      <c r="M158" s="17">
        <f t="shared" si="17"/>
        <v>25.333333333333332</v>
      </c>
      <c r="N158" s="92"/>
      <c r="O158" s="93"/>
    </row>
    <row r="159" spans="1:15" ht="15.75">
      <c r="A159" s="18">
        <f t="shared" si="18"/>
        <v>145</v>
      </c>
      <c r="B159" s="19" t="s">
        <v>12</v>
      </c>
      <c r="C159" s="19">
        <v>19</v>
      </c>
      <c r="D159" s="29" t="s">
        <v>47</v>
      </c>
      <c r="E159" s="20">
        <v>20.34</v>
      </c>
      <c r="F159" s="20">
        <v>10</v>
      </c>
      <c r="G159" s="30">
        <f t="shared" si="13"/>
        <v>0.08</v>
      </c>
      <c r="H159" s="20">
        <v>6.09</v>
      </c>
      <c r="I159" s="20">
        <v>3</v>
      </c>
      <c r="J159" s="15">
        <f t="shared" si="14"/>
        <v>14.170000000000002</v>
      </c>
      <c r="K159" s="15">
        <f t="shared" si="15"/>
        <v>7</v>
      </c>
      <c r="L159" s="16">
        <f t="shared" si="16"/>
        <v>260</v>
      </c>
      <c r="M159" s="17">
        <f t="shared" si="17"/>
        <v>26</v>
      </c>
      <c r="N159" s="92"/>
      <c r="O159" s="93"/>
    </row>
    <row r="160" spans="1:15" ht="15.75">
      <c r="A160" s="18">
        <f t="shared" si="18"/>
        <v>146</v>
      </c>
      <c r="B160" s="19" t="s">
        <v>12</v>
      </c>
      <c r="C160" s="19">
        <v>19</v>
      </c>
      <c r="D160" s="19" t="s">
        <v>48</v>
      </c>
      <c r="E160" s="20">
        <v>20.37</v>
      </c>
      <c r="F160" s="20">
        <v>10</v>
      </c>
      <c r="G160" s="30">
        <f t="shared" si="13"/>
        <v>0.08</v>
      </c>
      <c r="H160" s="20"/>
      <c r="I160" s="20"/>
      <c r="J160" s="15">
        <f t="shared" si="14"/>
        <v>20.290000000000003</v>
      </c>
      <c r="K160" s="15">
        <f t="shared" si="15"/>
        <v>10</v>
      </c>
      <c r="L160" s="16">
        <f t="shared" si="16"/>
        <v>290</v>
      </c>
      <c r="M160" s="17">
        <f t="shared" si="17"/>
        <v>29</v>
      </c>
      <c r="N160" s="92"/>
      <c r="O160" s="93"/>
    </row>
    <row r="161" spans="1:19" ht="15.75">
      <c r="A161" s="18">
        <f t="shared" si="18"/>
        <v>147</v>
      </c>
      <c r="B161" s="19" t="s">
        <v>12</v>
      </c>
      <c r="C161" s="19">
        <v>19</v>
      </c>
      <c r="D161" s="29" t="s">
        <v>42</v>
      </c>
      <c r="E161" s="20">
        <v>20.39</v>
      </c>
      <c r="F161" s="20">
        <v>10</v>
      </c>
      <c r="G161" s="30">
        <f t="shared" si="13"/>
        <v>0.08</v>
      </c>
      <c r="H161" s="20"/>
      <c r="I161" s="20"/>
      <c r="J161" s="15">
        <f t="shared" si="14"/>
        <v>20.310000000000002</v>
      </c>
      <c r="K161" s="15">
        <f t="shared" si="15"/>
        <v>10</v>
      </c>
      <c r="L161" s="16">
        <f t="shared" si="16"/>
        <v>310</v>
      </c>
      <c r="M161" s="17">
        <f t="shared" si="17"/>
        <v>31</v>
      </c>
      <c r="N161" s="92"/>
      <c r="O161" s="93"/>
    </row>
    <row r="162" spans="1:19" ht="15.75">
      <c r="A162" s="18">
        <f t="shared" si="18"/>
        <v>148</v>
      </c>
      <c r="B162" s="19" t="s">
        <v>12</v>
      </c>
      <c r="C162" s="19">
        <v>19</v>
      </c>
      <c r="D162" s="29" t="s">
        <v>41</v>
      </c>
      <c r="E162" s="20">
        <v>24.51</v>
      </c>
      <c r="F162" s="20">
        <v>12</v>
      </c>
      <c r="G162" s="30">
        <f t="shared" si="13"/>
        <v>9.6000000000000002E-2</v>
      </c>
      <c r="H162" s="20"/>
      <c r="I162" s="20"/>
      <c r="J162" s="15">
        <f t="shared" si="14"/>
        <v>24.414000000000001</v>
      </c>
      <c r="K162" s="15">
        <f t="shared" si="15"/>
        <v>12</v>
      </c>
      <c r="L162" s="16">
        <f t="shared" si="16"/>
        <v>414</v>
      </c>
      <c r="M162" s="17">
        <f t="shared" si="17"/>
        <v>34.5</v>
      </c>
      <c r="N162" s="92"/>
      <c r="O162" s="93"/>
    </row>
    <row r="163" spans="1:19" ht="15.75">
      <c r="A163" s="18">
        <f t="shared" si="18"/>
        <v>149</v>
      </c>
      <c r="B163" s="19" t="s">
        <v>12</v>
      </c>
      <c r="C163" s="19">
        <v>19</v>
      </c>
      <c r="D163" s="19" t="s">
        <v>47</v>
      </c>
      <c r="E163" s="20">
        <v>20.440000000000001</v>
      </c>
      <c r="F163" s="20">
        <v>10</v>
      </c>
      <c r="G163" s="30">
        <f t="shared" si="13"/>
        <v>0.08</v>
      </c>
      <c r="H163" s="20"/>
      <c r="I163" s="20"/>
      <c r="J163" s="15">
        <f t="shared" si="14"/>
        <v>20.360000000000003</v>
      </c>
      <c r="K163" s="15">
        <f t="shared" si="15"/>
        <v>10</v>
      </c>
      <c r="L163" s="16">
        <f t="shared" si="16"/>
        <v>360</v>
      </c>
      <c r="M163" s="17">
        <f t="shared" si="17"/>
        <v>36</v>
      </c>
      <c r="N163" s="92"/>
      <c r="O163" s="93"/>
    </row>
    <row r="164" spans="1:19" ht="15.75">
      <c r="A164" s="18">
        <f t="shared" si="18"/>
        <v>150</v>
      </c>
      <c r="B164" s="19" t="s">
        <v>12</v>
      </c>
      <c r="C164" s="19">
        <v>19</v>
      </c>
      <c r="D164" s="29" t="s">
        <v>42</v>
      </c>
      <c r="E164" s="20">
        <v>20.39</v>
      </c>
      <c r="F164" s="20">
        <v>10</v>
      </c>
      <c r="G164" s="30">
        <f t="shared" si="13"/>
        <v>0.08</v>
      </c>
      <c r="H164" s="20"/>
      <c r="I164" s="20"/>
      <c r="J164" s="15">
        <f t="shared" si="14"/>
        <v>20.310000000000002</v>
      </c>
      <c r="K164" s="15">
        <f t="shared" si="15"/>
        <v>10</v>
      </c>
      <c r="L164" s="16">
        <f t="shared" si="16"/>
        <v>310</v>
      </c>
      <c r="M164" s="17">
        <f t="shared" si="17"/>
        <v>31</v>
      </c>
      <c r="N164" s="92"/>
      <c r="O164" s="93"/>
    </row>
    <row r="165" spans="1:19" ht="15.75">
      <c r="A165" s="18">
        <f t="shared" si="18"/>
        <v>151</v>
      </c>
      <c r="B165" s="19" t="s">
        <v>12</v>
      </c>
      <c r="C165" s="19">
        <v>19</v>
      </c>
      <c r="D165" s="29" t="s">
        <v>48</v>
      </c>
      <c r="E165" s="20">
        <v>20.420000000000002</v>
      </c>
      <c r="F165" s="20">
        <v>10</v>
      </c>
      <c r="G165" s="30">
        <f t="shared" si="13"/>
        <v>0.08</v>
      </c>
      <c r="H165" s="20"/>
      <c r="I165" s="20"/>
      <c r="J165" s="15">
        <f t="shared" si="14"/>
        <v>20.340000000000003</v>
      </c>
      <c r="K165" s="15">
        <f t="shared" si="15"/>
        <v>10</v>
      </c>
      <c r="L165" s="16">
        <f t="shared" si="16"/>
        <v>340</v>
      </c>
      <c r="M165" s="17">
        <f t="shared" si="17"/>
        <v>34</v>
      </c>
      <c r="N165" s="92"/>
      <c r="O165" s="93"/>
    </row>
    <row r="166" spans="1:19" ht="15.75">
      <c r="A166" s="18">
        <f t="shared" si="18"/>
        <v>152</v>
      </c>
      <c r="B166" s="19" t="s">
        <v>12</v>
      </c>
      <c r="C166" s="19">
        <v>19</v>
      </c>
      <c r="D166" s="19" t="s">
        <v>41</v>
      </c>
      <c r="E166" s="20">
        <v>24.51</v>
      </c>
      <c r="F166" s="20">
        <v>12</v>
      </c>
      <c r="G166" s="30">
        <f t="shared" si="13"/>
        <v>9.6000000000000002E-2</v>
      </c>
      <c r="H166" s="20"/>
      <c r="I166" s="20"/>
      <c r="J166" s="15">
        <f t="shared" si="14"/>
        <v>24.414000000000001</v>
      </c>
      <c r="K166" s="15">
        <f t="shared" si="15"/>
        <v>12</v>
      </c>
      <c r="L166" s="16">
        <f t="shared" si="16"/>
        <v>414</v>
      </c>
      <c r="M166" s="17">
        <f t="shared" si="17"/>
        <v>34.5</v>
      </c>
      <c r="N166" s="92"/>
      <c r="O166" s="93"/>
    </row>
    <row r="167" spans="1:19" ht="15.75">
      <c r="A167" s="18">
        <f t="shared" si="18"/>
        <v>153</v>
      </c>
      <c r="B167" s="19" t="s">
        <v>12</v>
      </c>
      <c r="C167" s="19">
        <v>19</v>
      </c>
      <c r="D167" s="29" t="s">
        <v>47</v>
      </c>
      <c r="E167" s="20">
        <v>20.37</v>
      </c>
      <c r="F167" s="20">
        <v>10</v>
      </c>
      <c r="G167" s="30">
        <f t="shared" si="13"/>
        <v>0.08</v>
      </c>
      <c r="H167" s="20"/>
      <c r="I167" s="20"/>
      <c r="J167" s="15">
        <f t="shared" si="14"/>
        <v>20.290000000000003</v>
      </c>
      <c r="K167" s="15">
        <f t="shared" si="15"/>
        <v>10</v>
      </c>
      <c r="L167" s="16">
        <f t="shared" si="16"/>
        <v>290</v>
      </c>
      <c r="M167" s="17">
        <f t="shared" si="17"/>
        <v>29</v>
      </c>
      <c r="N167" s="92"/>
      <c r="O167" s="93"/>
    </row>
    <row r="168" spans="1:19" ht="15.75">
      <c r="A168" s="18">
        <f t="shared" si="18"/>
        <v>154</v>
      </c>
      <c r="B168" s="19" t="s">
        <v>12</v>
      </c>
      <c r="C168" s="19">
        <v>19</v>
      </c>
      <c r="D168" s="29" t="s">
        <v>42</v>
      </c>
      <c r="E168" s="20">
        <v>20.41</v>
      </c>
      <c r="F168" s="20">
        <v>10</v>
      </c>
      <c r="G168" s="30">
        <f t="shared" si="13"/>
        <v>0.08</v>
      </c>
      <c r="H168" s="20"/>
      <c r="I168" s="20"/>
      <c r="J168" s="15">
        <f t="shared" si="14"/>
        <v>20.330000000000002</v>
      </c>
      <c r="K168" s="15">
        <f t="shared" si="15"/>
        <v>10</v>
      </c>
      <c r="L168" s="16">
        <f t="shared" si="16"/>
        <v>330</v>
      </c>
      <c r="M168" s="17">
        <f t="shared" si="17"/>
        <v>33</v>
      </c>
      <c r="N168" s="92"/>
      <c r="O168" s="93"/>
    </row>
    <row r="169" spans="1:19" ht="15.75">
      <c r="A169" s="18">
        <f t="shared" si="18"/>
        <v>155</v>
      </c>
      <c r="B169" s="19" t="s">
        <v>12</v>
      </c>
      <c r="C169" s="19">
        <v>19</v>
      </c>
      <c r="D169" s="19" t="s">
        <v>48</v>
      </c>
      <c r="E169" s="20">
        <v>20.41</v>
      </c>
      <c r="F169" s="20">
        <v>10</v>
      </c>
      <c r="G169" s="30">
        <f t="shared" si="13"/>
        <v>0.08</v>
      </c>
      <c r="H169" s="20"/>
      <c r="I169" s="20"/>
      <c r="J169" s="15">
        <f t="shared" si="14"/>
        <v>20.330000000000002</v>
      </c>
      <c r="K169" s="15">
        <f t="shared" si="15"/>
        <v>10</v>
      </c>
      <c r="L169" s="16">
        <f t="shared" si="16"/>
        <v>330</v>
      </c>
      <c r="M169" s="17">
        <f t="shared" si="17"/>
        <v>33</v>
      </c>
      <c r="N169" s="92"/>
      <c r="O169" s="93"/>
    </row>
    <row r="170" spans="1:19" ht="15.75">
      <c r="A170" s="18">
        <f t="shared" si="18"/>
        <v>156</v>
      </c>
      <c r="B170" s="19" t="s">
        <v>12</v>
      </c>
      <c r="C170" s="19">
        <v>19</v>
      </c>
      <c r="D170" s="29" t="s">
        <v>41</v>
      </c>
      <c r="E170" s="20">
        <v>24.36</v>
      </c>
      <c r="F170" s="20">
        <v>12</v>
      </c>
      <c r="G170" s="30">
        <f t="shared" si="13"/>
        <v>9.6000000000000002E-2</v>
      </c>
      <c r="H170" s="20"/>
      <c r="I170" s="20"/>
      <c r="J170" s="15">
        <f t="shared" si="14"/>
        <v>24.263999999999999</v>
      </c>
      <c r="K170" s="15">
        <f t="shared" si="15"/>
        <v>12</v>
      </c>
      <c r="L170" s="16">
        <f t="shared" si="16"/>
        <v>264</v>
      </c>
      <c r="M170" s="17">
        <f t="shared" si="17"/>
        <v>22</v>
      </c>
      <c r="N170" s="92"/>
      <c r="O170" s="93"/>
    </row>
    <row r="171" spans="1:19" ht="15.75">
      <c r="A171" s="18">
        <f t="shared" si="18"/>
        <v>157</v>
      </c>
      <c r="B171" s="19" t="s">
        <v>12</v>
      </c>
      <c r="C171" s="19">
        <v>19</v>
      </c>
      <c r="D171" s="29" t="s">
        <v>47</v>
      </c>
      <c r="E171" s="20">
        <v>20.37</v>
      </c>
      <c r="F171" s="20">
        <v>10</v>
      </c>
      <c r="G171" s="30">
        <f t="shared" si="13"/>
        <v>0.08</v>
      </c>
      <c r="H171" s="20"/>
      <c r="I171" s="20"/>
      <c r="J171" s="15">
        <f t="shared" si="14"/>
        <v>20.290000000000003</v>
      </c>
      <c r="K171" s="15">
        <f t="shared" si="15"/>
        <v>10</v>
      </c>
      <c r="L171" s="16">
        <f t="shared" si="16"/>
        <v>290</v>
      </c>
      <c r="M171" s="17">
        <f t="shared" si="17"/>
        <v>29</v>
      </c>
      <c r="N171" s="92"/>
      <c r="O171" s="93"/>
    </row>
    <row r="172" spans="1:19" ht="15.75">
      <c r="A172" s="18">
        <f t="shared" si="18"/>
        <v>158</v>
      </c>
      <c r="B172" s="19" t="s">
        <v>12</v>
      </c>
      <c r="C172" s="19">
        <v>19</v>
      </c>
      <c r="D172" s="19" t="s">
        <v>48</v>
      </c>
      <c r="E172" s="72">
        <v>20.39</v>
      </c>
      <c r="F172" s="20">
        <v>10</v>
      </c>
      <c r="G172" s="30">
        <f t="shared" ref="G172:G183" si="19">+F172*$E$6/1000</f>
        <v>0.08</v>
      </c>
      <c r="H172" s="20"/>
      <c r="I172" s="20"/>
      <c r="J172" s="15">
        <f t="shared" si="14"/>
        <v>20.310000000000002</v>
      </c>
      <c r="K172" s="15">
        <f t="shared" si="15"/>
        <v>10</v>
      </c>
      <c r="L172" s="16">
        <f t="shared" si="16"/>
        <v>310</v>
      </c>
      <c r="M172" s="17">
        <f t="shared" si="17"/>
        <v>31</v>
      </c>
      <c r="N172" s="122"/>
      <c r="O172" s="123"/>
    </row>
    <row r="173" spans="1:19" ht="15.75">
      <c r="A173" s="18">
        <f>+A172+1</f>
        <v>159</v>
      </c>
      <c r="B173" s="19" t="s">
        <v>12</v>
      </c>
      <c r="C173" s="19">
        <v>19</v>
      </c>
      <c r="D173" s="29" t="s">
        <v>44</v>
      </c>
      <c r="E173" s="20">
        <v>20.399999999999999</v>
      </c>
      <c r="F173" s="20">
        <v>10</v>
      </c>
      <c r="G173" s="30">
        <f t="shared" si="19"/>
        <v>0.08</v>
      </c>
      <c r="H173" s="20"/>
      <c r="I173" s="20"/>
      <c r="J173" s="15">
        <f t="shared" si="14"/>
        <v>20.32</v>
      </c>
      <c r="K173" s="15">
        <f t="shared" si="15"/>
        <v>10</v>
      </c>
      <c r="L173" s="16">
        <f t="shared" si="16"/>
        <v>320</v>
      </c>
      <c r="M173" s="17">
        <f t="shared" si="17"/>
        <v>32</v>
      </c>
      <c r="N173" s="92"/>
      <c r="O173" s="93"/>
    </row>
    <row r="174" spans="1:19" ht="15.75">
      <c r="A174" s="18">
        <f t="shared" si="18"/>
        <v>160</v>
      </c>
      <c r="B174" s="19" t="s">
        <v>12</v>
      </c>
      <c r="C174" s="19">
        <v>19</v>
      </c>
      <c r="D174" s="29" t="s">
        <v>41</v>
      </c>
      <c r="E174" s="20">
        <v>24.42</v>
      </c>
      <c r="F174" s="20">
        <v>12</v>
      </c>
      <c r="G174" s="30">
        <f t="shared" si="19"/>
        <v>9.6000000000000002E-2</v>
      </c>
      <c r="H174" s="20"/>
      <c r="I174" s="20"/>
      <c r="J174" s="15">
        <f t="shared" si="14"/>
        <v>24.324000000000002</v>
      </c>
      <c r="K174" s="15">
        <f t="shared" si="15"/>
        <v>12</v>
      </c>
      <c r="L174" s="16">
        <f t="shared" si="16"/>
        <v>324</v>
      </c>
      <c r="M174" s="17">
        <f t="shared" si="17"/>
        <v>27</v>
      </c>
      <c r="N174" s="92"/>
      <c r="O174" s="93"/>
    </row>
    <row r="175" spans="1:19" s="63" customFormat="1" ht="15.75">
      <c r="A175" s="59">
        <f t="shared" si="18"/>
        <v>161</v>
      </c>
      <c r="B175" s="60" t="s">
        <v>12</v>
      </c>
      <c r="C175" s="60">
        <v>19</v>
      </c>
      <c r="D175" s="60" t="s">
        <v>47</v>
      </c>
      <c r="E175" s="61">
        <v>20.41</v>
      </c>
      <c r="F175" s="61">
        <v>10</v>
      </c>
      <c r="G175" s="62">
        <f t="shared" si="19"/>
        <v>0.08</v>
      </c>
      <c r="H175" s="61"/>
      <c r="I175" s="61"/>
      <c r="J175" s="15">
        <f t="shared" si="14"/>
        <v>20.330000000000002</v>
      </c>
      <c r="K175" s="15">
        <f t="shared" si="15"/>
        <v>10</v>
      </c>
      <c r="L175" s="16">
        <f t="shared" si="16"/>
        <v>330</v>
      </c>
      <c r="M175" s="17">
        <f t="shared" si="17"/>
        <v>33</v>
      </c>
      <c r="N175" s="124"/>
      <c r="O175" s="125"/>
    </row>
    <row r="176" spans="1:19" ht="15.75">
      <c r="A176" s="18">
        <f t="shared" si="18"/>
        <v>162</v>
      </c>
      <c r="B176" s="19" t="s">
        <v>12</v>
      </c>
      <c r="C176" s="19">
        <v>19</v>
      </c>
      <c r="D176" s="29" t="s">
        <v>48</v>
      </c>
      <c r="E176" s="20">
        <v>20.43</v>
      </c>
      <c r="F176" s="20">
        <v>10</v>
      </c>
      <c r="G176" s="30">
        <f t="shared" si="19"/>
        <v>0.08</v>
      </c>
      <c r="H176" s="20"/>
      <c r="I176" s="20"/>
      <c r="J176" s="15">
        <f t="shared" si="14"/>
        <v>20.350000000000001</v>
      </c>
      <c r="K176" s="15">
        <f t="shared" si="15"/>
        <v>10</v>
      </c>
      <c r="L176" s="16">
        <f t="shared" si="16"/>
        <v>350</v>
      </c>
      <c r="M176" s="17">
        <f t="shared" si="17"/>
        <v>35</v>
      </c>
      <c r="N176" s="92"/>
      <c r="O176" s="93"/>
      <c r="Q176" s="64"/>
      <c r="R176" s="65"/>
      <c r="S176" s="58"/>
    </row>
    <row r="177" spans="1:19" ht="15.75">
      <c r="A177" s="18">
        <f t="shared" si="18"/>
        <v>163</v>
      </c>
      <c r="B177" s="19" t="s">
        <v>12</v>
      </c>
      <c r="C177" s="19">
        <v>19</v>
      </c>
      <c r="D177" s="29" t="s">
        <v>44</v>
      </c>
      <c r="E177" s="20">
        <v>20.36</v>
      </c>
      <c r="F177" s="20">
        <v>10</v>
      </c>
      <c r="G177" s="30">
        <f t="shared" si="19"/>
        <v>0.08</v>
      </c>
      <c r="H177" s="20"/>
      <c r="I177" s="20"/>
      <c r="J177" s="15">
        <f t="shared" si="14"/>
        <v>20.28</v>
      </c>
      <c r="K177" s="15">
        <f t="shared" si="15"/>
        <v>10</v>
      </c>
      <c r="L177" s="16">
        <f t="shared" si="16"/>
        <v>280</v>
      </c>
      <c r="M177" s="17">
        <f t="shared" si="17"/>
        <v>28</v>
      </c>
      <c r="N177" s="92"/>
      <c r="O177" s="93"/>
    </row>
    <row r="178" spans="1:19" ht="15.75">
      <c r="A178" s="18">
        <f t="shared" si="18"/>
        <v>164</v>
      </c>
      <c r="B178" s="19" t="s">
        <v>12</v>
      </c>
      <c r="C178" s="19">
        <v>19</v>
      </c>
      <c r="D178" s="19" t="s">
        <v>41</v>
      </c>
      <c r="E178" s="20">
        <v>24.51</v>
      </c>
      <c r="F178" s="20">
        <v>12</v>
      </c>
      <c r="G178" s="30">
        <f t="shared" si="19"/>
        <v>9.6000000000000002E-2</v>
      </c>
      <c r="H178" s="20"/>
      <c r="I178" s="20"/>
      <c r="J178" s="15">
        <f t="shared" si="14"/>
        <v>24.414000000000001</v>
      </c>
      <c r="K178" s="15">
        <f t="shared" si="15"/>
        <v>12</v>
      </c>
      <c r="L178" s="16">
        <f t="shared" si="16"/>
        <v>414</v>
      </c>
      <c r="M178" s="17">
        <f t="shared" si="17"/>
        <v>34.5</v>
      </c>
      <c r="N178" s="92"/>
      <c r="O178" s="93"/>
    </row>
    <row r="179" spans="1:19" ht="15.75">
      <c r="A179" s="18">
        <f t="shared" si="18"/>
        <v>165</v>
      </c>
      <c r="B179" s="19" t="s">
        <v>12</v>
      </c>
      <c r="C179" s="19">
        <v>19</v>
      </c>
      <c r="D179" s="29" t="s">
        <v>48</v>
      </c>
      <c r="E179" s="20">
        <v>4.08</v>
      </c>
      <c r="F179" s="20">
        <v>2</v>
      </c>
      <c r="G179" s="30">
        <f t="shared" si="19"/>
        <v>1.6E-2</v>
      </c>
      <c r="H179" s="20"/>
      <c r="I179" s="20"/>
      <c r="J179" s="15">
        <f t="shared" si="14"/>
        <v>4.0640000000000001</v>
      </c>
      <c r="K179" s="15">
        <f t="shared" si="15"/>
        <v>2</v>
      </c>
      <c r="L179" s="16">
        <f t="shared" si="16"/>
        <v>64</v>
      </c>
      <c r="M179" s="17">
        <f t="shared" si="17"/>
        <v>32</v>
      </c>
      <c r="N179" s="92"/>
      <c r="O179" s="93"/>
    </row>
    <row r="180" spans="1:19" ht="15.75">
      <c r="A180" s="18">
        <f t="shared" si="18"/>
        <v>166</v>
      </c>
      <c r="B180" s="19" t="s">
        <v>13</v>
      </c>
      <c r="C180" s="19">
        <v>19</v>
      </c>
      <c r="D180" s="29" t="s">
        <v>47</v>
      </c>
      <c r="E180" s="20">
        <v>20.34</v>
      </c>
      <c r="F180" s="20">
        <v>10</v>
      </c>
      <c r="G180" s="30">
        <f t="shared" si="19"/>
        <v>0.08</v>
      </c>
      <c r="H180" s="20"/>
      <c r="I180" s="20"/>
      <c r="J180" s="15">
        <f t="shared" si="14"/>
        <v>20.260000000000002</v>
      </c>
      <c r="K180" s="15">
        <f t="shared" si="15"/>
        <v>10</v>
      </c>
      <c r="L180" s="16">
        <f t="shared" si="16"/>
        <v>260</v>
      </c>
      <c r="M180" s="17">
        <f t="shared" si="17"/>
        <v>26</v>
      </c>
      <c r="N180" s="92"/>
      <c r="O180" s="93"/>
    </row>
    <row r="181" spans="1:19" ht="15.75">
      <c r="A181" s="18">
        <f t="shared" si="18"/>
        <v>167</v>
      </c>
      <c r="B181" s="19" t="s">
        <v>13</v>
      </c>
      <c r="C181" s="19">
        <v>19</v>
      </c>
      <c r="D181" s="29" t="s">
        <v>48</v>
      </c>
      <c r="E181" s="20">
        <v>20.3</v>
      </c>
      <c r="F181" s="20">
        <v>10</v>
      </c>
      <c r="G181" s="30">
        <f t="shared" si="19"/>
        <v>0.08</v>
      </c>
      <c r="H181" s="20"/>
      <c r="I181" s="20"/>
      <c r="J181" s="15">
        <f t="shared" si="14"/>
        <v>20.220000000000002</v>
      </c>
      <c r="K181" s="15">
        <f t="shared" si="15"/>
        <v>10</v>
      </c>
      <c r="L181" s="16">
        <f t="shared" si="16"/>
        <v>220</v>
      </c>
      <c r="M181" s="17">
        <f t="shared" si="17"/>
        <v>22</v>
      </c>
      <c r="N181" s="92"/>
      <c r="O181" s="93"/>
      <c r="Q181" s="1" t="s">
        <v>40</v>
      </c>
    </row>
    <row r="182" spans="1:19" ht="15.75">
      <c r="A182" s="18">
        <f t="shared" si="18"/>
        <v>168</v>
      </c>
      <c r="B182" s="19" t="s">
        <v>13</v>
      </c>
      <c r="C182" s="19">
        <v>19</v>
      </c>
      <c r="D182" s="29" t="s">
        <v>41</v>
      </c>
      <c r="E182" s="20">
        <v>24.53</v>
      </c>
      <c r="F182" s="20">
        <v>12</v>
      </c>
      <c r="G182" s="30">
        <f t="shared" si="19"/>
        <v>9.6000000000000002E-2</v>
      </c>
      <c r="H182" s="20"/>
      <c r="I182" s="20"/>
      <c r="J182" s="15">
        <f t="shared" si="14"/>
        <v>24.434000000000001</v>
      </c>
      <c r="K182" s="15">
        <f t="shared" si="15"/>
        <v>12</v>
      </c>
      <c r="L182" s="16">
        <f t="shared" si="16"/>
        <v>434</v>
      </c>
      <c r="M182" s="17">
        <f t="shared" si="17"/>
        <v>36.166666666666664</v>
      </c>
      <c r="N182" s="92"/>
      <c r="O182" s="93"/>
      <c r="S182" s="50"/>
    </row>
    <row r="183" spans="1:19" ht="15.75">
      <c r="A183" s="18">
        <f t="shared" si="18"/>
        <v>169</v>
      </c>
      <c r="B183" s="19" t="s">
        <v>13</v>
      </c>
      <c r="C183" s="19">
        <v>19</v>
      </c>
      <c r="D183" s="1" t="s">
        <v>45</v>
      </c>
      <c r="E183" s="20">
        <v>20.34</v>
      </c>
      <c r="F183" s="20">
        <v>10</v>
      </c>
      <c r="G183" s="30">
        <f t="shared" si="19"/>
        <v>0.08</v>
      </c>
      <c r="H183" s="20"/>
      <c r="I183" s="20"/>
      <c r="J183" s="15">
        <f t="shared" si="14"/>
        <v>20.260000000000002</v>
      </c>
      <c r="K183" s="15">
        <f t="shared" si="15"/>
        <v>10</v>
      </c>
      <c r="L183" s="16">
        <f t="shared" si="16"/>
        <v>260</v>
      </c>
      <c r="M183" s="17">
        <f t="shared" si="17"/>
        <v>26</v>
      </c>
      <c r="N183" s="92"/>
      <c r="O183" s="93"/>
    </row>
    <row r="184" spans="1:19" ht="15.75">
      <c r="A184" s="18">
        <f t="shared" si="18"/>
        <v>170</v>
      </c>
      <c r="B184" s="19" t="s">
        <v>13</v>
      </c>
      <c r="C184" s="19">
        <v>19</v>
      </c>
      <c r="D184" s="19" t="s">
        <v>47</v>
      </c>
      <c r="E184" s="20">
        <v>20.350000000000001</v>
      </c>
      <c r="F184" s="20">
        <v>10</v>
      </c>
      <c r="G184" s="30">
        <f t="shared" si="13"/>
        <v>0.08</v>
      </c>
      <c r="H184" s="20"/>
      <c r="I184" s="20"/>
      <c r="J184" s="15">
        <f t="shared" si="14"/>
        <v>20.270000000000003</v>
      </c>
      <c r="K184" s="15">
        <f t="shared" si="15"/>
        <v>10</v>
      </c>
      <c r="L184" s="16">
        <f t="shared" si="16"/>
        <v>270</v>
      </c>
      <c r="M184" s="17">
        <f t="shared" si="17"/>
        <v>27</v>
      </c>
      <c r="N184" s="92"/>
      <c r="O184" s="93"/>
    </row>
    <row r="185" spans="1:19" ht="15.75">
      <c r="A185" s="18">
        <f t="shared" si="18"/>
        <v>171</v>
      </c>
      <c r="B185" s="19" t="s">
        <v>13</v>
      </c>
      <c r="C185" s="19">
        <v>19</v>
      </c>
      <c r="D185" s="29" t="s">
        <v>41</v>
      </c>
      <c r="E185" s="20">
        <v>24.47</v>
      </c>
      <c r="F185" s="20">
        <v>12</v>
      </c>
      <c r="G185" s="30">
        <f t="shared" ref="G185:G218" si="20">+F185*$E$6/1000</f>
        <v>9.6000000000000002E-2</v>
      </c>
      <c r="H185" s="20"/>
      <c r="I185" s="20"/>
      <c r="J185" s="15">
        <f t="shared" si="14"/>
        <v>24.373999999999999</v>
      </c>
      <c r="K185" s="15">
        <f t="shared" si="15"/>
        <v>12</v>
      </c>
      <c r="L185" s="16">
        <f t="shared" si="16"/>
        <v>374</v>
      </c>
      <c r="M185" s="17">
        <f t="shared" si="17"/>
        <v>31.166666666666668</v>
      </c>
      <c r="N185" s="92"/>
      <c r="O185" s="93"/>
    </row>
    <row r="186" spans="1:19" ht="15.75">
      <c r="A186" s="18">
        <f t="shared" si="18"/>
        <v>172</v>
      </c>
      <c r="B186" s="19" t="s">
        <v>13</v>
      </c>
      <c r="C186" s="19">
        <v>19</v>
      </c>
      <c r="D186" s="29" t="s">
        <v>48</v>
      </c>
      <c r="E186" s="20">
        <v>20.41</v>
      </c>
      <c r="F186" s="20">
        <v>10</v>
      </c>
      <c r="G186" s="30">
        <f t="shared" si="20"/>
        <v>0.08</v>
      </c>
      <c r="H186" s="20"/>
      <c r="I186" s="20"/>
      <c r="J186" s="15">
        <f t="shared" si="14"/>
        <v>20.330000000000002</v>
      </c>
      <c r="K186" s="15">
        <f t="shared" si="15"/>
        <v>10</v>
      </c>
      <c r="L186" s="16">
        <f t="shared" si="16"/>
        <v>330</v>
      </c>
      <c r="M186" s="17">
        <f t="shared" si="17"/>
        <v>33</v>
      </c>
      <c r="N186" s="92"/>
      <c r="O186" s="93"/>
    </row>
    <row r="187" spans="1:19" ht="15.75">
      <c r="A187" s="18">
        <f t="shared" si="18"/>
        <v>173</v>
      </c>
      <c r="B187" s="19" t="s">
        <v>13</v>
      </c>
      <c r="C187" s="19">
        <v>19</v>
      </c>
      <c r="D187" s="1" t="s">
        <v>45</v>
      </c>
      <c r="E187" s="20">
        <v>20.37</v>
      </c>
      <c r="F187" s="20">
        <v>10</v>
      </c>
      <c r="G187" s="30">
        <f t="shared" si="20"/>
        <v>0.08</v>
      </c>
      <c r="H187" s="20"/>
      <c r="I187" s="20"/>
      <c r="J187" s="15">
        <f t="shared" si="14"/>
        <v>20.290000000000003</v>
      </c>
      <c r="K187" s="15">
        <f t="shared" si="15"/>
        <v>10</v>
      </c>
      <c r="L187" s="16">
        <f t="shared" si="16"/>
        <v>290</v>
      </c>
      <c r="M187" s="17">
        <f t="shared" si="17"/>
        <v>29</v>
      </c>
      <c r="N187" s="92"/>
      <c r="O187" s="93"/>
    </row>
    <row r="188" spans="1:19" ht="15.75">
      <c r="A188" s="18">
        <f t="shared" si="18"/>
        <v>174</v>
      </c>
      <c r="B188" s="19" t="s">
        <v>13</v>
      </c>
      <c r="C188" s="19">
        <v>19</v>
      </c>
      <c r="D188" s="19" t="s">
        <v>47</v>
      </c>
      <c r="E188" s="20">
        <v>20.41</v>
      </c>
      <c r="F188" s="20">
        <v>10</v>
      </c>
      <c r="G188" s="30">
        <f t="shared" si="20"/>
        <v>0.08</v>
      </c>
      <c r="H188" s="20"/>
      <c r="I188" s="20"/>
      <c r="J188" s="15">
        <f t="shared" si="14"/>
        <v>20.330000000000002</v>
      </c>
      <c r="K188" s="15">
        <f t="shared" si="15"/>
        <v>10</v>
      </c>
      <c r="L188" s="16">
        <f t="shared" si="16"/>
        <v>330</v>
      </c>
      <c r="M188" s="17">
        <f t="shared" si="17"/>
        <v>33</v>
      </c>
      <c r="N188" s="92"/>
      <c r="O188" s="93"/>
    </row>
    <row r="189" spans="1:19" ht="15.75">
      <c r="A189" s="18">
        <f t="shared" si="18"/>
        <v>175</v>
      </c>
      <c r="B189" s="19" t="s">
        <v>13</v>
      </c>
      <c r="C189" s="19">
        <v>19</v>
      </c>
      <c r="D189" s="29" t="s">
        <v>41</v>
      </c>
      <c r="E189" s="20">
        <v>24.46</v>
      </c>
      <c r="F189" s="20">
        <v>12</v>
      </c>
      <c r="G189" s="30">
        <f t="shared" si="20"/>
        <v>9.6000000000000002E-2</v>
      </c>
      <c r="H189" s="20"/>
      <c r="I189" s="20"/>
      <c r="J189" s="15">
        <f t="shared" si="14"/>
        <v>24.364000000000001</v>
      </c>
      <c r="K189" s="15">
        <f t="shared" si="15"/>
        <v>12</v>
      </c>
      <c r="L189" s="16">
        <f t="shared" si="16"/>
        <v>364</v>
      </c>
      <c r="M189" s="17">
        <f t="shared" si="17"/>
        <v>30.333333333333332</v>
      </c>
      <c r="N189" s="92"/>
      <c r="O189" s="93"/>
    </row>
    <row r="190" spans="1:19" ht="15.75">
      <c r="A190" s="18">
        <f t="shared" si="18"/>
        <v>176</v>
      </c>
      <c r="B190" s="19" t="s">
        <v>13</v>
      </c>
      <c r="C190" s="19">
        <v>19</v>
      </c>
      <c r="D190" s="29" t="s">
        <v>48</v>
      </c>
      <c r="E190" s="20">
        <v>20.38</v>
      </c>
      <c r="F190" s="20">
        <v>10</v>
      </c>
      <c r="G190" s="30">
        <f t="shared" si="20"/>
        <v>0.08</v>
      </c>
      <c r="H190" s="20"/>
      <c r="I190" s="20"/>
      <c r="J190" s="15">
        <f t="shared" si="14"/>
        <v>20.3</v>
      </c>
      <c r="K190" s="15">
        <f t="shared" si="15"/>
        <v>10</v>
      </c>
      <c r="L190" s="16">
        <f t="shared" si="16"/>
        <v>300</v>
      </c>
      <c r="M190" s="17">
        <f t="shared" si="17"/>
        <v>30</v>
      </c>
      <c r="N190" s="92"/>
      <c r="O190" s="93"/>
    </row>
    <row r="191" spans="1:19" ht="15.75">
      <c r="A191" s="18">
        <f t="shared" si="18"/>
        <v>177</v>
      </c>
      <c r="B191" s="19" t="s">
        <v>13</v>
      </c>
      <c r="C191" s="19">
        <v>19</v>
      </c>
      <c r="D191" s="1" t="s">
        <v>45</v>
      </c>
      <c r="E191" s="20">
        <v>20.399999999999999</v>
      </c>
      <c r="F191" s="20">
        <v>10</v>
      </c>
      <c r="G191" s="30">
        <f t="shared" si="20"/>
        <v>0.08</v>
      </c>
      <c r="H191" s="20"/>
      <c r="I191" s="20"/>
      <c r="J191" s="15">
        <f t="shared" si="14"/>
        <v>20.32</v>
      </c>
      <c r="K191" s="15">
        <f t="shared" si="15"/>
        <v>10</v>
      </c>
      <c r="L191" s="16">
        <f t="shared" si="16"/>
        <v>320</v>
      </c>
      <c r="M191" s="17">
        <f t="shared" si="17"/>
        <v>32</v>
      </c>
      <c r="N191" s="92"/>
      <c r="O191" s="93"/>
    </row>
    <row r="192" spans="1:19" ht="15.75">
      <c r="A192" s="18">
        <f t="shared" si="18"/>
        <v>178</v>
      </c>
      <c r="B192" s="19" t="s">
        <v>13</v>
      </c>
      <c r="C192" s="19">
        <v>19</v>
      </c>
      <c r="D192" s="19" t="s">
        <v>47</v>
      </c>
      <c r="E192" s="20">
        <v>20.309999999999999</v>
      </c>
      <c r="F192" s="20">
        <v>10</v>
      </c>
      <c r="G192" s="30">
        <f t="shared" si="20"/>
        <v>0.08</v>
      </c>
      <c r="H192" s="20"/>
      <c r="I192" s="20"/>
      <c r="J192" s="15">
        <f t="shared" si="14"/>
        <v>20.23</v>
      </c>
      <c r="K192" s="15">
        <f t="shared" si="15"/>
        <v>10</v>
      </c>
      <c r="L192" s="16">
        <f t="shared" si="16"/>
        <v>230</v>
      </c>
      <c r="M192" s="17">
        <f t="shared" si="17"/>
        <v>23</v>
      </c>
      <c r="N192" s="92"/>
      <c r="O192" s="93"/>
    </row>
    <row r="193" spans="1:15" ht="15.75">
      <c r="A193" s="18">
        <f t="shared" si="18"/>
        <v>179</v>
      </c>
      <c r="B193" s="19" t="s">
        <v>13</v>
      </c>
      <c r="C193" s="19">
        <v>19</v>
      </c>
      <c r="D193" s="29" t="s">
        <v>41</v>
      </c>
      <c r="E193" s="20">
        <v>24.47</v>
      </c>
      <c r="F193" s="20">
        <v>12</v>
      </c>
      <c r="G193" s="30">
        <f t="shared" si="20"/>
        <v>9.6000000000000002E-2</v>
      </c>
      <c r="H193" s="20"/>
      <c r="I193" s="20"/>
      <c r="J193" s="15">
        <f t="shared" si="14"/>
        <v>24.373999999999999</v>
      </c>
      <c r="K193" s="15">
        <f t="shared" si="15"/>
        <v>12</v>
      </c>
      <c r="L193" s="16">
        <f t="shared" si="16"/>
        <v>374</v>
      </c>
      <c r="M193" s="17">
        <f t="shared" si="17"/>
        <v>31.166666666666668</v>
      </c>
      <c r="N193" s="92"/>
      <c r="O193" s="93"/>
    </row>
    <row r="194" spans="1:15" ht="15.75">
      <c r="A194" s="18">
        <f t="shared" si="18"/>
        <v>180</v>
      </c>
      <c r="B194" s="19" t="s">
        <v>13</v>
      </c>
      <c r="C194" s="19">
        <v>19</v>
      </c>
      <c r="D194" s="29" t="s">
        <v>48</v>
      </c>
      <c r="E194" s="20">
        <v>20.350000000000001</v>
      </c>
      <c r="F194" s="20">
        <v>10</v>
      </c>
      <c r="G194" s="30">
        <f t="shared" si="20"/>
        <v>0.08</v>
      </c>
      <c r="H194" s="20"/>
      <c r="I194" s="20"/>
      <c r="J194" s="15">
        <f t="shared" si="14"/>
        <v>20.270000000000003</v>
      </c>
      <c r="K194" s="15">
        <f t="shared" si="15"/>
        <v>10</v>
      </c>
      <c r="L194" s="16">
        <f t="shared" si="16"/>
        <v>270</v>
      </c>
      <c r="M194" s="17">
        <f t="shared" si="17"/>
        <v>27</v>
      </c>
      <c r="N194" s="92"/>
      <c r="O194" s="93"/>
    </row>
    <row r="195" spans="1:15" ht="15.75">
      <c r="A195" s="18">
        <f t="shared" si="18"/>
        <v>181</v>
      </c>
      <c r="B195" s="19" t="s">
        <v>13</v>
      </c>
      <c r="C195" s="19">
        <v>19</v>
      </c>
      <c r="D195" s="1" t="s">
        <v>45</v>
      </c>
      <c r="E195" s="20">
        <v>20.37</v>
      </c>
      <c r="F195" s="20">
        <v>10</v>
      </c>
      <c r="G195" s="30">
        <f t="shared" si="20"/>
        <v>0.08</v>
      </c>
      <c r="H195" s="20"/>
      <c r="I195" s="20"/>
      <c r="J195" s="15">
        <f t="shared" si="14"/>
        <v>20.290000000000003</v>
      </c>
      <c r="K195" s="15">
        <f t="shared" si="15"/>
        <v>10</v>
      </c>
      <c r="L195" s="16">
        <f t="shared" si="16"/>
        <v>290</v>
      </c>
      <c r="M195" s="17">
        <f t="shared" si="17"/>
        <v>29</v>
      </c>
      <c r="N195" s="92"/>
      <c r="O195" s="93"/>
    </row>
    <row r="196" spans="1:15" ht="15.75">
      <c r="A196" s="18">
        <f t="shared" si="18"/>
        <v>182</v>
      </c>
      <c r="B196" s="19" t="s">
        <v>13</v>
      </c>
      <c r="C196" s="19">
        <v>19</v>
      </c>
      <c r="D196" s="29" t="s">
        <v>41</v>
      </c>
      <c r="E196" s="20">
        <v>24.44</v>
      </c>
      <c r="F196" s="20">
        <v>12</v>
      </c>
      <c r="G196" s="30">
        <f t="shared" si="20"/>
        <v>9.6000000000000002E-2</v>
      </c>
      <c r="H196" s="20"/>
      <c r="I196" s="20"/>
      <c r="J196" s="15">
        <f t="shared" si="14"/>
        <v>24.344000000000001</v>
      </c>
      <c r="K196" s="15">
        <f t="shared" si="15"/>
        <v>12</v>
      </c>
      <c r="L196" s="16">
        <f t="shared" si="16"/>
        <v>344</v>
      </c>
      <c r="M196" s="17">
        <f t="shared" si="17"/>
        <v>28.666666666666668</v>
      </c>
      <c r="N196" s="92"/>
      <c r="O196" s="93"/>
    </row>
    <row r="197" spans="1:15" ht="15.75">
      <c r="A197" s="18">
        <f t="shared" si="18"/>
        <v>183</v>
      </c>
      <c r="B197" s="19" t="s">
        <v>13</v>
      </c>
      <c r="C197" s="19">
        <v>19</v>
      </c>
      <c r="D197" s="29" t="s">
        <v>48</v>
      </c>
      <c r="E197" s="20">
        <v>20.34</v>
      </c>
      <c r="F197" s="20">
        <v>10</v>
      </c>
      <c r="G197" s="30">
        <f t="shared" si="20"/>
        <v>0.08</v>
      </c>
      <c r="H197" s="20"/>
      <c r="I197" s="20"/>
      <c r="J197" s="15">
        <f t="shared" si="14"/>
        <v>20.260000000000002</v>
      </c>
      <c r="K197" s="15">
        <f t="shared" si="15"/>
        <v>10</v>
      </c>
      <c r="L197" s="16">
        <f t="shared" si="16"/>
        <v>260</v>
      </c>
      <c r="M197" s="17">
        <f t="shared" si="17"/>
        <v>26</v>
      </c>
      <c r="N197" s="92"/>
      <c r="O197" s="93"/>
    </row>
    <row r="198" spans="1:15" ht="15.75">
      <c r="A198" s="18">
        <f t="shared" si="18"/>
        <v>184</v>
      </c>
      <c r="B198" s="19" t="s">
        <v>13</v>
      </c>
      <c r="C198" s="19">
        <v>19</v>
      </c>
      <c r="D198" s="1" t="s">
        <v>45</v>
      </c>
      <c r="E198" s="20">
        <v>20.399999999999999</v>
      </c>
      <c r="F198" s="20">
        <v>10</v>
      </c>
      <c r="G198" s="30">
        <f t="shared" si="20"/>
        <v>0.08</v>
      </c>
      <c r="H198" s="20"/>
      <c r="I198" s="20"/>
      <c r="J198" s="15">
        <f t="shared" si="14"/>
        <v>20.32</v>
      </c>
      <c r="K198" s="15">
        <f t="shared" si="15"/>
        <v>10</v>
      </c>
      <c r="L198" s="16">
        <f t="shared" si="16"/>
        <v>320</v>
      </c>
      <c r="M198" s="17">
        <f t="shared" si="17"/>
        <v>32</v>
      </c>
      <c r="N198" s="92"/>
      <c r="O198" s="93"/>
    </row>
    <row r="199" spans="1:15" ht="15.75">
      <c r="A199" s="18">
        <f t="shared" si="18"/>
        <v>185</v>
      </c>
      <c r="B199" s="19" t="s">
        <v>13</v>
      </c>
      <c r="C199" s="19">
        <v>19</v>
      </c>
      <c r="D199" s="29" t="s">
        <v>41</v>
      </c>
      <c r="E199" s="20">
        <v>24.43</v>
      </c>
      <c r="F199" s="20">
        <v>12</v>
      </c>
      <c r="G199" s="30">
        <f t="shared" si="20"/>
        <v>9.6000000000000002E-2</v>
      </c>
      <c r="H199" s="20"/>
      <c r="I199" s="20"/>
      <c r="J199" s="15">
        <f t="shared" si="14"/>
        <v>24.334</v>
      </c>
      <c r="K199" s="15">
        <f t="shared" si="15"/>
        <v>12</v>
      </c>
      <c r="L199" s="16">
        <f t="shared" si="16"/>
        <v>334</v>
      </c>
      <c r="M199" s="17">
        <f t="shared" si="17"/>
        <v>27.833333333333332</v>
      </c>
      <c r="N199" s="92"/>
      <c r="O199" s="93"/>
    </row>
    <row r="200" spans="1:15" ht="15.75">
      <c r="A200" s="18">
        <f t="shared" si="18"/>
        <v>186</v>
      </c>
      <c r="B200" s="19" t="s">
        <v>13</v>
      </c>
      <c r="C200" s="19">
        <v>19</v>
      </c>
      <c r="D200" s="29" t="s">
        <v>48</v>
      </c>
      <c r="E200" s="20">
        <v>20.350000000000001</v>
      </c>
      <c r="F200" s="20">
        <v>10</v>
      </c>
      <c r="G200" s="30">
        <f t="shared" si="20"/>
        <v>0.08</v>
      </c>
      <c r="H200" s="20"/>
      <c r="I200" s="20"/>
      <c r="J200" s="15">
        <f t="shared" si="14"/>
        <v>20.270000000000003</v>
      </c>
      <c r="K200" s="15">
        <f t="shared" si="15"/>
        <v>10</v>
      </c>
      <c r="L200" s="16">
        <f t="shared" si="16"/>
        <v>270</v>
      </c>
      <c r="M200" s="17">
        <f t="shared" si="17"/>
        <v>27</v>
      </c>
      <c r="N200" s="92"/>
      <c r="O200" s="93"/>
    </row>
    <row r="201" spans="1:15" ht="15.75">
      <c r="A201" s="18">
        <f t="shared" si="18"/>
        <v>187</v>
      </c>
      <c r="B201" s="19" t="s">
        <v>18</v>
      </c>
      <c r="C201" s="19">
        <v>19</v>
      </c>
      <c r="D201" s="29" t="s">
        <v>42</v>
      </c>
      <c r="E201" s="20">
        <v>20.440000000000001</v>
      </c>
      <c r="F201" s="20">
        <v>10</v>
      </c>
      <c r="G201" s="30">
        <f t="shared" si="20"/>
        <v>0.08</v>
      </c>
      <c r="H201" s="20"/>
      <c r="I201" s="20"/>
      <c r="J201" s="15">
        <f t="shared" si="14"/>
        <v>20.360000000000003</v>
      </c>
      <c r="K201" s="15">
        <f t="shared" si="15"/>
        <v>10</v>
      </c>
      <c r="L201" s="16">
        <f t="shared" si="16"/>
        <v>360</v>
      </c>
      <c r="M201" s="17">
        <f t="shared" si="17"/>
        <v>36</v>
      </c>
      <c r="N201" s="92"/>
      <c r="O201" s="93"/>
    </row>
    <row r="202" spans="1:15" s="71" customFormat="1" ht="15.75">
      <c r="A202" s="66">
        <f t="shared" si="18"/>
        <v>188</v>
      </c>
      <c r="B202" s="67" t="s">
        <v>18</v>
      </c>
      <c r="C202" s="67">
        <v>19</v>
      </c>
      <c r="D202" s="68" t="s">
        <v>41</v>
      </c>
      <c r="E202" s="69">
        <v>24.45</v>
      </c>
      <c r="F202" s="69">
        <v>12</v>
      </c>
      <c r="G202" s="70">
        <f t="shared" si="20"/>
        <v>9.6000000000000002E-2</v>
      </c>
      <c r="H202" s="69"/>
      <c r="I202" s="69"/>
      <c r="J202" s="15">
        <f t="shared" si="14"/>
        <v>24.353999999999999</v>
      </c>
      <c r="K202" s="15">
        <f t="shared" si="15"/>
        <v>12</v>
      </c>
      <c r="L202" s="16">
        <f t="shared" si="16"/>
        <v>354</v>
      </c>
      <c r="M202" s="17">
        <f t="shared" si="17"/>
        <v>29.5</v>
      </c>
      <c r="N202" s="122"/>
      <c r="O202" s="123"/>
    </row>
    <row r="203" spans="1:15" ht="15.75">
      <c r="A203" s="18">
        <f t="shared" si="18"/>
        <v>189</v>
      </c>
      <c r="B203" s="19" t="s">
        <v>18</v>
      </c>
      <c r="C203" s="19">
        <v>19</v>
      </c>
      <c r="D203" s="1" t="s">
        <v>45</v>
      </c>
      <c r="E203" s="20">
        <v>20.440000000000001</v>
      </c>
      <c r="F203" s="20">
        <v>10</v>
      </c>
      <c r="G203" s="30">
        <f t="shared" si="20"/>
        <v>0.08</v>
      </c>
      <c r="H203" s="20"/>
      <c r="I203" s="20"/>
      <c r="J203" s="15">
        <f t="shared" si="14"/>
        <v>20.360000000000003</v>
      </c>
      <c r="K203" s="15">
        <f t="shared" si="15"/>
        <v>10</v>
      </c>
      <c r="L203" s="16">
        <f t="shared" si="16"/>
        <v>360</v>
      </c>
      <c r="M203" s="17">
        <f t="shared" si="17"/>
        <v>36</v>
      </c>
      <c r="N203" s="92"/>
      <c r="O203" s="93"/>
    </row>
    <row r="204" spans="1:15" ht="15.75">
      <c r="A204" s="18">
        <f t="shared" si="18"/>
        <v>190</v>
      </c>
      <c r="B204" s="19" t="s">
        <v>18</v>
      </c>
      <c r="C204" s="19">
        <v>19</v>
      </c>
      <c r="D204" s="29" t="s">
        <v>48</v>
      </c>
      <c r="E204" s="20">
        <v>20.41</v>
      </c>
      <c r="F204" s="20">
        <v>10</v>
      </c>
      <c r="G204" s="30">
        <f t="shared" si="20"/>
        <v>0.08</v>
      </c>
      <c r="H204" s="20"/>
      <c r="I204" s="20"/>
      <c r="J204" s="15">
        <f t="shared" si="14"/>
        <v>20.330000000000002</v>
      </c>
      <c r="K204" s="15">
        <f t="shared" si="15"/>
        <v>10</v>
      </c>
      <c r="L204" s="16">
        <f t="shared" si="16"/>
        <v>330</v>
      </c>
      <c r="M204" s="17">
        <f t="shared" si="17"/>
        <v>33</v>
      </c>
      <c r="N204" s="92"/>
      <c r="O204" s="93"/>
    </row>
    <row r="205" spans="1:15" ht="15.75">
      <c r="A205" s="18">
        <f t="shared" si="18"/>
        <v>191</v>
      </c>
      <c r="B205" s="19" t="s">
        <v>18</v>
      </c>
      <c r="C205" s="19">
        <v>19</v>
      </c>
      <c r="D205" s="29" t="s">
        <v>42</v>
      </c>
      <c r="E205" s="20">
        <v>20.350000000000001</v>
      </c>
      <c r="F205" s="20">
        <v>10</v>
      </c>
      <c r="G205" s="30">
        <f t="shared" si="20"/>
        <v>0.08</v>
      </c>
      <c r="H205" s="20"/>
      <c r="I205" s="20"/>
      <c r="J205" s="15">
        <f t="shared" si="14"/>
        <v>20.270000000000003</v>
      </c>
      <c r="K205" s="15">
        <f t="shared" si="15"/>
        <v>10</v>
      </c>
      <c r="L205" s="16">
        <f t="shared" si="16"/>
        <v>270</v>
      </c>
      <c r="M205" s="17">
        <f t="shared" si="17"/>
        <v>27</v>
      </c>
      <c r="N205" s="92"/>
      <c r="O205" s="93"/>
    </row>
    <row r="206" spans="1:15" ht="15.75">
      <c r="A206" s="18">
        <f t="shared" si="18"/>
        <v>192</v>
      </c>
      <c r="B206" s="19" t="s">
        <v>18</v>
      </c>
      <c r="C206" s="19">
        <v>19</v>
      </c>
      <c r="D206" s="29" t="s">
        <v>41</v>
      </c>
      <c r="E206" s="20">
        <v>24.47</v>
      </c>
      <c r="F206" s="69">
        <v>12</v>
      </c>
      <c r="G206" s="30">
        <f t="shared" si="20"/>
        <v>9.6000000000000002E-2</v>
      </c>
      <c r="H206" s="20"/>
      <c r="I206" s="20"/>
      <c r="J206" s="15">
        <f t="shared" si="14"/>
        <v>24.373999999999999</v>
      </c>
      <c r="K206" s="15">
        <f t="shared" si="15"/>
        <v>12</v>
      </c>
      <c r="L206" s="16">
        <f t="shared" si="16"/>
        <v>374</v>
      </c>
      <c r="M206" s="17">
        <f t="shared" si="17"/>
        <v>31.166666666666668</v>
      </c>
      <c r="N206" s="92"/>
      <c r="O206" s="93"/>
    </row>
    <row r="207" spans="1:15" ht="15.75">
      <c r="A207" s="18">
        <f t="shared" si="18"/>
        <v>193</v>
      </c>
      <c r="B207" s="19" t="s">
        <v>18</v>
      </c>
      <c r="C207" s="19">
        <v>19</v>
      </c>
      <c r="D207" s="1" t="s">
        <v>45</v>
      </c>
      <c r="E207" s="20">
        <v>20.36</v>
      </c>
      <c r="F207" s="20">
        <v>10</v>
      </c>
      <c r="G207" s="30">
        <f t="shared" si="20"/>
        <v>0.08</v>
      </c>
      <c r="H207" s="20"/>
      <c r="I207" s="20"/>
      <c r="J207" s="15">
        <f t="shared" si="14"/>
        <v>20.28</v>
      </c>
      <c r="K207" s="15">
        <f t="shared" si="15"/>
        <v>10</v>
      </c>
      <c r="L207" s="16">
        <f t="shared" si="16"/>
        <v>280</v>
      </c>
      <c r="M207" s="17">
        <f t="shared" si="17"/>
        <v>28</v>
      </c>
      <c r="N207" s="92"/>
      <c r="O207" s="93"/>
    </row>
    <row r="208" spans="1:15" ht="15.75">
      <c r="A208" s="18">
        <f t="shared" si="18"/>
        <v>194</v>
      </c>
      <c r="B208" s="19" t="s">
        <v>18</v>
      </c>
      <c r="C208" s="19">
        <v>19</v>
      </c>
      <c r="D208" s="29" t="s">
        <v>48</v>
      </c>
      <c r="E208" s="20">
        <v>20.309999999999999</v>
      </c>
      <c r="F208" s="20">
        <v>10</v>
      </c>
      <c r="G208" s="30">
        <f t="shared" si="20"/>
        <v>0.08</v>
      </c>
      <c r="H208" s="20"/>
      <c r="I208" s="20"/>
      <c r="J208" s="15">
        <f t="shared" ref="J208:J271" si="21">+E208-G208-H208</f>
        <v>20.23</v>
      </c>
      <c r="K208" s="15">
        <f t="shared" ref="K208:K271" si="22">+F208-I208</f>
        <v>10</v>
      </c>
      <c r="L208" s="16">
        <f t="shared" ref="L208:L271" si="23">IF(E208*1000-F208*$E$8=0,0,E208*1000-F208*$E$8)</f>
        <v>230</v>
      </c>
      <c r="M208" s="17">
        <f t="shared" ref="M208:M271" si="24">IF(F208=0,"-",L208/F208)</f>
        <v>23</v>
      </c>
      <c r="N208" s="92"/>
      <c r="O208" s="93"/>
    </row>
    <row r="209" spans="1:15" ht="15.75">
      <c r="A209" s="18">
        <f t="shared" ref="A209:A272" si="25">+A208+1</f>
        <v>195</v>
      </c>
      <c r="B209" s="19" t="s">
        <v>18</v>
      </c>
      <c r="C209" s="19">
        <v>19</v>
      </c>
      <c r="D209" s="29" t="s">
        <v>42</v>
      </c>
      <c r="E209" s="20">
        <v>20.46</v>
      </c>
      <c r="F209" s="20">
        <v>10</v>
      </c>
      <c r="G209" s="30">
        <f t="shared" si="20"/>
        <v>0.08</v>
      </c>
      <c r="H209" s="20"/>
      <c r="I209" s="20"/>
      <c r="J209" s="15">
        <f t="shared" si="21"/>
        <v>20.380000000000003</v>
      </c>
      <c r="K209" s="15">
        <f t="shared" si="22"/>
        <v>10</v>
      </c>
      <c r="L209" s="16">
        <f t="shared" si="23"/>
        <v>380</v>
      </c>
      <c r="M209" s="17">
        <f t="shared" si="24"/>
        <v>38</v>
      </c>
      <c r="N209" s="92"/>
      <c r="O209" s="93"/>
    </row>
    <row r="210" spans="1:15" ht="15.75">
      <c r="A210" s="18">
        <f t="shared" si="25"/>
        <v>196</v>
      </c>
      <c r="B210" s="19" t="s">
        <v>18</v>
      </c>
      <c r="C210" s="19">
        <v>19</v>
      </c>
      <c r="D210" s="29" t="s">
        <v>41</v>
      </c>
      <c r="E210" s="20">
        <v>24.41</v>
      </c>
      <c r="F210" s="69">
        <v>12</v>
      </c>
      <c r="G210" s="30">
        <f t="shared" si="20"/>
        <v>9.6000000000000002E-2</v>
      </c>
      <c r="H210" s="20"/>
      <c r="I210" s="20"/>
      <c r="J210" s="15">
        <f t="shared" si="21"/>
        <v>24.314</v>
      </c>
      <c r="K210" s="15">
        <f t="shared" si="22"/>
        <v>12</v>
      </c>
      <c r="L210" s="16">
        <f t="shared" si="23"/>
        <v>314</v>
      </c>
      <c r="M210" s="17">
        <f t="shared" si="24"/>
        <v>26.166666666666668</v>
      </c>
      <c r="N210" s="92"/>
      <c r="O210" s="93"/>
    </row>
    <row r="211" spans="1:15" ht="15.75">
      <c r="A211" s="18">
        <f t="shared" si="25"/>
        <v>197</v>
      </c>
      <c r="B211" s="19" t="s">
        <v>18</v>
      </c>
      <c r="C211" s="19">
        <v>19</v>
      </c>
      <c r="D211" s="1" t="s">
        <v>45</v>
      </c>
      <c r="E211" s="20">
        <v>20.29</v>
      </c>
      <c r="F211" s="20">
        <v>10</v>
      </c>
      <c r="G211" s="30">
        <f t="shared" si="20"/>
        <v>0.08</v>
      </c>
      <c r="H211" s="20"/>
      <c r="I211" s="20"/>
      <c r="J211" s="15">
        <f t="shared" si="21"/>
        <v>20.21</v>
      </c>
      <c r="K211" s="15">
        <f t="shared" si="22"/>
        <v>10</v>
      </c>
      <c r="L211" s="16">
        <f t="shared" si="23"/>
        <v>210</v>
      </c>
      <c r="M211" s="17">
        <f t="shared" si="24"/>
        <v>21</v>
      </c>
      <c r="N211" s="92"/>
      <c r="O211" s="93"/>
    </row>
    <row r="212" spans="1:15" ht="15.75">
      <c r="A212" s="18">
        <f t="shared" si="25"/>
        <v>198</v>
      </c>
      <c r="B212" s="19" t="s">
        <v>18</v>
      </c>
      <c r="C212" s="19">
        <v>19</v>
      </c>
      <c r="D212" s="29" t="s">
        <v>48</v>
      </c>
      <c r="E212" s="20">
        <v>20.28</v>
      </c>
      <c r="F212" s="20">
        <v>10</v>
      </c>
      <c r="G212" s="30">
        <f t="shared" si="20"/>
        <v>0.08</v>
      </c>
      <c r="H212" s="20"/>
      <c r="I212" s="20"/>
      <c r="J212" s="15">
        <f t="shared" si="21"/>
        <v>20.200000000000003</v>
      </c>
      <c r="K212" s="15">
        <f t="shared" si="22"/>
        <v>10</v>
      </c>
      <c r="L212" s="16">
        <f t="shared" si="23"/>
        <v>200</v>
      </c>
      <c r="M212" s="17">
        <f t="shared" si="24"/>
        <v>20</v>
      </c>
      <c r="N212" s="92"/>
      <c r="O212" s="93"/>
    </row>
    <row r="213" spans="1:15" ht="15.75">
      <c r="A213" s="18">
        <f t="shared" si="25"/>
        <v>199</v>
      </c>
      <c r="B213" s="19" t="s">
        <v>18</v>
      </c>
      <c r="C213" s="19">
        <v>19</v>
      </c>
      <c r="D213" s="29" t="s">
        <v>42</v>
      </c>
      <c r="E213" s="20">
        <v>20.22</v>
      </c>
      <c r="F213" s="20">
        <v>10</v>
      </c>
      <c r="G213" s="30">
        <f t="shared" si="20"/>
        <v>0.08</v>
      </c>
      <c r="H213" s="20"/>
      <c r="I213" s="20"/>
      <c r="J213" s="15">
        <f t="shared" si="21"/>
        <v>20.14</v>
      </c>
      <c r="K213" s="15">
        <f t="shared" si="22"/>
        <v>10</v>
      </c>
      <c r="L213" s="16">
        <f t="shared" si="23"/>
        <v>140</v>
      </c>
      <c r="M213" s="17">
        <f t="shared" si="24"/>
        <v>14</v>
      </c>
      <c r="N213" s="122" t="s">
        <v>50</v>
      </c>
      <c r="O213" s="123"/>
    </row>
    <row r="214" spans="1:15" ht="15.75">
      <c r="A214" s="18">
        <f t="shared" si="25"/>
        <v>200</v>
      </c>
      <c r="B214" s="19" t="s">
        <v>12</v>
      </c>
      <c r="C214" s="19">
        <v>20</v>
      </c>
      <c r="D214" s="19" t="s">
        <v>45</v>
      </c>
      <c r="E214" s="20">
        <v>20.18</v>
      </c>
      <c r="F214" s="20">
        <v>10</v>
      </c>
      <c r="G214" s="30">
        <f t="shared" si="20"/>
        <v>0.08</v>
      </c>
      <c r="H214" s="20"/>
      <c r="I214" s="20"/>
      <c r="J214" s="15">
        <f t="shared" si="21"/>
        <v>20.100000000000001</v>
      </c>
      <c r="K214" s="15">
        <f t="shared" si="22"/>
        <v>10</v>
      </c>
      <c r="L214" s="16">
        <f t="shared" si="23"/>
        <v>100</v>
      </c>
      <c r="M214" s="17">
        <f t="shared" si="24"/>
        <v>10</v>
      </c>
      <c r="N214" s="122" t="s">
        <v>50</v>
      </c>
      <c r="O214" s="123"/>
    </row>
    <row r="215" spans="1:15" ht="15.75">
      <c r="A215" s="18">
        <f t="shared" si="25"/>
        <v>201</v>
      </c>
      <c r="B215" s="19" t="s">
        <v>12</v>
      </c>
      <c r="C215" s="19">
        <v>20</v>
      </c>
      <c r="D215" s="19" t="s">
        <v>41</v>
      </c>
      <c r="E215" s="20">
        <v>24.23</v>
      </c>
      <c r="F215" s="20">
        <v>12</v>
      </c>
      <c r="G215" s="30">
        <f t="shared" si="20"/>
        <v>9.6000000000000002E-2</v>
      </c>
      <c r="H215" s="20"/>
      <c r="I215" s="20"/>
      <c r="J215" s="15">
        <f t="shared" si="21"/>
        <v>24.134</v>
      </c>
      <c r="K215" s="15">
        <f t="shared" si="22"/>
        <v>12</v>
      </c>
      <c r="L215" s="16">
        <f t="shared" si="23"/>
        <v>134</v>
      </c>
      <c r="M215" s="17">
        <f t="shared" si="24"/>
        <v>11.166666666666666</v>
      </c>
      <c r="N215" s="122" t="s">
        <v>50</v>
      </c>
      <c r="O215" s="123"/>
    </row>
    <row r="216" spans="1:15" ht="15.75">
      <c r="A216" s="18">
        <f t="shared" si="25"/>
        <v>202</v>
      </c>
      <c r="B216" s="19" t="s">
        <v>12</v>
      </c>
      <c r="C216" s="19">
        <v>20</v>
      </c>
      <c r="D216" s="19" t="s">
        <v>48</v>
      </c>
      <c r="E216" s="20">
        <v>20.2</v>
      </c>
      <c r="F216" s="20">
        <v>10</v>
      </c>
      <c r="G216" s="30">
        <f t="shared" si="20"/>
        <v>0.08</v>
      </c>
      <c r="H216" s="20"/>
      <c r="I216" s="20"/>
      <c r="J216" s="15">
        <f t="shared" si="21"/>
        <v>20.12</v>
      </c>
      <c r="K216" s="15">
        <f t="shared" si="22"/>
        <v>10</v>
      </c>
      <c r="L216" s="16">
        <f t="shared" si="23"/>
        <v>120</v>
      </c>
      <c r="M216" s="17">
        <f t="shared" si="24"/>
        <v>12</v>
      </c>
      <c r="N216" s="122" t="s">
        <v>50</v>
      </c>
      <c r="O216" s="123"/>
    </row>
    <row r="217" spans="1:15" ht="15.75">
      <c r="A217" s="18">
        <f t="shared" si="25"/>
        <v>203</v>
      </c>
      <c r="B217" s="19" t="s">
        <v>12</v>
      </c>
      <c r="C217" s="19">
        <v>20</v>
      </c>
      <c r="D217" s="19" t="s">
        <v>42</v>
      </c>
      <c r="E217" s="20">
        <v>20.16</v>
      </c>
      <c r="F217" s="20">
        <v>10</v>
      </c>
      <c r="G217" s="30">
        <f t="shared" si="20"/>
        <v>0.08</v>
      </c>
      <c r="H217" s="20"/>
      <c r="I217" s="20"/>
      <c r="J217" s="15">
        <f t="shared" si="21"/>
        <v>20.080000000000002</v>
      </c>
      <c r="K217" s="15">
        <f t="shared" si="22"/>
        <v>10</v>
      </c>
      <c r="L217" s="16">
        <f t="shared" si="23"/>
        <v>80</v>
      </c>
      <c r="M217" s="17">
        <f t="shared" si="24"/>
        <v>8</v>
      </c>
      <c r="N217" s="122" t="s">
        <v>50</v>
      </c>
      <c r="O217" s="123"/>
    </row>
    <row r="218" spans="1:15" ht="15.75">
      <c r="A218" s="18">
        <f t="shared" si="25"/>
        <v>204</v>
      </c>
      <c r="B218" s="19" t="s">
        <v>12</v>
      </c>
      <c r="C218" s="19">
        <v>20</v>
      </c>
      <c r="D218" s="19" t="s">
        <v>41</v>
      </c>
      <c r="E218" s="20">
        <v>24.19</v>
      </c>
      <c r="F218" s="20">
        <v>12</v>
      </c>
      <c r="G218" s="30">
        <f t="shared" si="20"/>
        <v>9.6000000000000002E-2</v>
      </c>
      <c r="H218" s="20"/>
      <c r="I218" s="20"/>
      <c r="J218" s="15">
        <f t="shared" si="21"/>
        <v>24.094000000000001</v>
      </c>
      <c r="K218" s="15">
        <f t="shared" si="22"/>
        <v>12</v>
      </c>
      <c r="L218" s="16">
        <f t="shared" si="23"/>
        <v>94</v>
      </c>
      <c r="M218" s="17">
        <f t="shared" si="24"/>
        <v>7.833333333333333</v>
      </c>
      <c r="N218" s="122" t="s">
        <v>50</v>
      </c>
      <c r="O218" s="123"/>
    </row>
    <row r="219" spans="1:15">
      <c r="A219" s="18">
        <f t="shared" si="25"/>
        <v>205</v>
      </c>
      <c r="B219" s="19" t="s">
        <v>12</v>
      </c>
      <c r="C219" s="19">
        <v>20</v>
      </c>
      <c r="D219" s="19" t="s">
        <v>45</v>
      </c>
      <c r="E219" s="20">
        <v>20.28</v>
      </c>
      <c r="F219" s="20">
        <v>10</v>
      </c>
      <c r="G219" s="15">
        <f t="shared" ref="G219:G270" si="26">+F219*$E$6/1000</f>
        <v>0.08</v>
      </c>
      <c r="H219" s="20"/>
      <c r="I219" s="20"/>
      <c r="J219" s="15">
        <f t="shared" si="21"/>
        <v>20.200000000000003</v>
      </c>
      <c r="K219" s="15">
        <f t="shared" si="22"/>
        <v>10</v>
      </c>
      <c r="L219" s="16">
        <f t="shared" si="23"/>
        <v>200</v>
      </c>
      <c r="M219" s="17">
        <f t="shared" si="24"/>
        <v>20</v>
      </c>
      <c r="N219" s="92"/>
      <c r="O219" s="93"/>
    </row>
    <row r="220" spans="1:15">
      <c r="A220" s="18">
        <f t="shared" si="25"/>
        <v>206</v>
      </c>
      <c r="B220" s="19" t="s">
        <v>12</v>
      </c>
      <c r="C220" s="19">
        <v>20</v>
      </c>
      <c r="D220" s="19" t="s">
        <v>42</v>
      </c>
      <c r="E220" s="20">
        <v>20.260000000000002</v>
      </c>
      <c r="F220" s="20">
        <v>10</v>
      </c>
      <c r="G220" s="15">
        <f t="shared" si="26"/>
        <v>0.08</v>
      </c>
      <c r="H220" s="20"/>
      <c r="I220" s="20"/>
      <c r="J220" s="15">
        <f t="shared" si="21"/>
        <v>20.180000000000003</v>
      </c>
      <c r="K220" s="15">
        <f t="shared" si="22"/>
        <v>10</v>
      </c>
      <c r="L220" s="16">
        <f t="shared" si="23"/>
        <v>180</v>
      </c>
      <c r="M220" s="17">
        <f t="shared" si="24"/>
        <v>18</v>
      </c>
      <c r="N220" s="92"/>
      <c r="O220" s="93"/>
    </row>
    <row r="221" spans="1:15">
      <c r="A221" s="18">
        <f t="shared" si="25"/>
        <v>207</v>
      </c>
      <c r="B221" s="19" t="s">
        <v>12</v>
      </c>
      <c r="C221" s="19">
        <v>20</v>
      </c>
      <c r="D221" s="19" t="s">
        <v>48</v>
      </c>
      <c r="E221" s="20">
        <v>20.29</v>
      </c>
      <c r="F221" s="20">
        <v>10</v>
      </c>
      <c r="G221" s="15">
        <f t="shared" si="26"/>
        <v>0.08</v>
      </c>
      <c r="H221" s="20"/>
      <c r="I221" s="20"/>
      <c r="J221" s="15">
        <f t="shared" si="21"/>
        <v>20.21</v>
      </c>
      <c r="K221" s="15">
        <f t="shared" si="22"/>
        <v>10</v>
      </c>
      <c r="L221" s="16">
        <f t="shared" si="23"/>
        <v>210</v>
      </c>
      <c r="M221" s="17">
        <f t="shared" si="24"/>
        <v>21</v>
      </c>
      <c r="N221" s="92"/>
      <c r="O221" s="93"/>
    </row>
    <row r="222" spans="1:15">
      <c r="A222" s="18">
        <f t="shared" si="25"/>
        <v>208</v>
      </c>
      <c r="B222" s="19" t="s">
        <v>12</v>
      </c>
      <c r="C222" s="19">
        <v>20</v>
      </c>
      <c r="D222" s="19" t="s">
        <v>41</v>
      </c>
      <c r="E222" s="20">
        <v>24.25</v>
      </c>
      <c r="F222" s="20">
        <v>12</v>
      </c>
      <c r="G222" s="15">
        <f t="shared" si="26"/>
        <v>9.6000000000000002E-2</v>
      </c>
      <c r="H222" s="20">
        <v>4.0599999999999996</v>
      </c>
      <c r="I222" s="20">
        <v>2</v>
      </c>
      <c r="J222" s="15">
        <f t="shared" si="21"/>
        <v>20.094000000000001</v>
      </c>
      <c r="K222" s="15">
        <f t="shared" si="22"/>
        <v>10</v>
      </c>
      <c r="L222" s="16">
        <f t="shared" si="23"/>
        <v>154</v>
      </c>
      <c r="M222" s="17">
        <f t="shared" si="24"/>
        <v>12.833333333333334</v>
      </c>
      <c r="N222" s="92"/>
      <c r="O222" s="93"/>
    </row>
    <row r="223" spans="1:15">
      <c r="A223" s="18">
        <f t="shared" si="25"/>
        <v>209</v>
      </c>
      <c r="B223" s="19" t="s">
        <v>12</v>
      </c>
      <c r="C223" s="19">
        <v>20</v>
      </c>
      <c r="D223" s="19" t="s">
        <v>45</v>
      </c>
      <c r="E223" s="20">
        <v>20.239999999999998</v>
      </c>
      <c r="F223" s="20">
        <v>10</v>
      </c>
      <c r="G223" s="15">
        <f t="shared" si="26"/>
        <v>0.08</v>
      </c>
      <c r="H223" s="20"/>
      <c r="I223" s="20"/>
      <c r="J223" s="15">
        <f t="shared" si="21"/>
        <v>20.16</v>
      </c>
      <c r="K223" s="15">
        <f t="shared" si="22"/>
        <v>10</v>
      </c>
      <c r="L223" s="16">
        <f t="shared" si="23"/>
        <v>160</v>
      </c>
      <c r="M223" s="17">
        <f t="shared" si="24"/>
        <v>16</v>
      </c>
      <c r="N223" s="92"/>
      <c r="O223" s="93"/>
    </row>
    <row r="224" spans="1:15">
      <c r="A224" s="18">
        <f t="shared" si="25"/>
        <v>210</v>
      </c>
      <c r="B224" s="19" t="s">
        <v>12</v>
      </c>
      <c r="C224" s="19">
        <v>20</v>
      </c>
      <c r="D224" s="19" t="s">
        <v>48</v>
      </c>
      <c r="E224" s="20">
        <v>20.309999999999999</v>
      </c>
      <c r="F224" s="20">
        <v>10</v>
      </c>
      <c r="G224" s="15">
        <f t="shared" si="26"/>
        <v>0.08</v>
      </c>
      <c r="H224" s="20"/>
      <c r="I224" s="20"/>
      <c r="J224" s="15">
        <f t="shared" si="21"/>
        <v>20.23</v>
      </c>
      <c r="K224" s="15">
        <f t="shared" si="22"/>
        <v>10</v>
      </c>
      <c r="L224" s="16">
        <f t="shared" si="23"/>
        <v>230</v>
      </c>
      <c r="M224" s="17">
        <f t="shared" si="24"/>
        <v>23</v>
      </c>
      <c r="N224" s="92"/>
      <c r="O224" s="93"/>
    </row>
    <row r="225" spans="1:20">
      <c r="A225" s="18">
        <f t="shared" si="25"/>
        <v>211</v>
      </c>
      <c r="B225" s="19" t="s">
        <v>12</v>
      </c>
      <c r="C225" s="19">
        <v>20</v>
      </c>
      <c r="D225" s="19" t="s">
        <v>42</v>
      </c>
      <c r="E225" s="20">
        <v>20.190000000000001</v>
      </c>
      <c r="F225" s="20">
        <v>10</v>
      </c>
      <c r="G225" s="15">
        <f t="shared" si="26"/>
        <v>0.08</v>
      </c>
      <c r="H225" s="20"/>
      <c r="I225" s="20"/>
      <c r="J225" s="15">
        <f t="shared" si="21"/>
        <v>20.110000000000003</v>
      </c>
      <c r="K225" s="15">
        <f t="shared" si="22"/>
        <v>10</v>
      </c>
      <c r="L225" s="16">
        <f t="shared" si="23"/>
        <v>110</v>
      </c>
      <c r="M225" s="17">
        <f t="shared" si="24"/>
        <v>11</v>
      </c>
      <c r="N225" s="92"/>
      <c r="O225" s="93"/>
    </row>
    <row r="226" spans="1:20">
      <c r="A226" s="18">
        <f t="shared" si="25"/>
        <v>212</v>
      </c>
      <c r="B226" s="19" t="s">
        <v>12</v>
      </c>
      <c r="C226" s="19">
        <v>20</v>
      </c>
      <c r="D226" s="19" t="s">
        <v>41</v>
      </c>
      <c r="E226" s="20">
        <v>24.29</v>
      </c>
      <c r="F226" s="20">
        <v>12</v>
      </c>
      <c r="G226" s="15">
        <f t="shared" si="26"/>
        <v>9.6000000000000002E-2</v>
      </c>
      <c r="H226" s="20"/>
      <c r="I226" s="20"/>
      <c r="J226" s="15">
        <f t="shared" si="21"/>
        <v>24.193999999999999</v>
      </c>
      <c r="K226" s="15">
        <f t="shared" si="22"/>
        <v>12</v>
      </c>
      <c r="L226" s="16">
        <f t="shared" si="23"/>
        <v>194</v>
      </c>
      <c r="M226" s="17">
        <f t="shared" si="24"/>
        <v>16.166666666666668</v>
      </c>
      <c r="N226" s="92"/>
      <c r="O226" s="93"/>
      <c r="T226" s="13"/>
    </row>
    <row r="227" spans="1:20">
      <c r="A227" s="18">
        <f t="shared" si="25"/>
        <v>213</v>
      </c>
      <c r="B227" s="19" t="s">
        <v>12</v>
      </c>
      <c r="C227" s="19">
        <v>20</v>
      </c>
      <c r="D227" s="19" t="s">
        <v>45</v>
      </c>
      <c r="E227" s="20">
        <v>20.309999999999999</v>
      </c>
      <c r="F227" s="20">
        <v>10</v>
      </c>
      <c r="G227" s="15">
        <f t="shared" si="26"/>
        <v>0.08</v>
      </c>
      <c r="H227" s="20"/>
      <c r="I227" s="20"/>
      <c r="J227" s="15">
        <f t="shared" si="21"/>
        <v>20.23</v>
      </c>
      <c r="K227" s="15">
        <f t="shared" si="22"/>
        <v>10</v>
      </c>
      <c r="L227" s="16">
        <f t="shared" si="23"/>
        <v>230</v>
      </c>
      <c r="M227" s="17">
        <f t="shared" si="24"/>
        <v>23</v>
      </c>
      <c r="N227" s="92"/>
      <c r="O227" s="93"/>
    </row>
    <row r="228" spans="1:20">
      <c r="A228" s="18">
        <f t="shared" si="25"/>
        <v>214</v>
      </c>
      <c r="B228" s="19" t="s">
        <v>12</v>
      </c>
      <c r="C228" s="19">
        <v>20</v>
      </c>
      <c r="D228" s="19" t="s">
        <v>48</v>
      </c>
      <c r="E228" s="20">
        <v>20.239999999999998</v>
      </c>
      <c r="F228" s="20">
        <v>10</v>
      </c>
      <c r="G228" s="15">
        <f t="shared" si="26"/>
        <v>0.08</v>
      </c>
      <c r="H228" s="20"/>
      <c r="I228" s="20"/>
      <c r="J228" s="15">
        <f t="shared" si="21"/>
        <v>20.16</v>
      </c>
      <c r="K228" s="15">
        <f t="shared" si="22"/>
        <v>10</v>
      </c>
      <c r="L228" s="16">
        <f t="shared" si="23"/>
        <v>160</v>
      </c>
      <c r="M228" s="17">
        <f t="shared" si="24"/>
        <v>16</v>
      </c>
      <c r="N228" s="92"/>
      <c r="O228" s="93"/>
    </row>
    <row r="229" spans="1:20">
      <c r="A229" s="18">
        <f t="shared" si="25"/>
        <v>215</v>
      </c>
      <c r="B229" s="19" t="s">
        <v>12</v>
      </c>
      <c r="C229" s="19">
        <v>20</v>
      </c>
      <c r="D229" s="19" t="s">
        <v>42</v>
      </c>
      <c r="E229" s="20">
        <v>20.149999999999999</v>
      </c>
      <c r="F229" s="20">
        <v>10</v>
      </c>
      <c r="G229" s="15">
        <f t="shared" si="26"/>
        <v>0.08</v>
      </c>
      <c r="H229" s="20"/>
      <c r="I229" s="20"/>
      <c r="J229" s="15">
        <f t="shared" si="21"/>
        <v>20.07</v>
      </c>
      <c r="K229" s="15">
        <f t="shared" si="22"/>
        <v>10</v>
      </c>
      <c r="L229" s="16">
        <f t="shared" si="23"/>
        <v>70</v>
      </c>
      <c r="M229" s="17">
        <f t="shared" si="24"/>
        <v>7</v>
      </c>
      <c r="N229" s="92"/>
      <c r="O229" s="93"/>
    </row>
    <row r="230" spans="1:20">
      <c r="A230" s="18">
        <f t="shared" si="25"/>
        <v>216</v>
      </c>
      <c r="B230" s="19" t="s">
        <v>12</v>
      </c>
      <c r="C230" s="19">
        <v>20</v>
      </c>
      <c r="D230" s="19" t="s">
        <v>44</v>
      </c>
      <c r="E230" s="20">
        <v>20.29</v>
      </c>
      <c r="F230" s="20">
        <v>10</v>
      </c>
      <c r="G230" s="15">
        <f t="shared" si="26"/>
        <v>0.08</v>
      </c>
      <c r="H230" s="20"/>
      <c r="I230" s="20"/>
      <c r="J230" s="15">
        <f t="shared" si="21"/>
        <v>20.21</v>
      </c>
      <c r="K230" s="15">
        <f t="shared" si="22"/>
        <v>10</v>
      </c>
      <c r="L230" s="16">
        <f t="shared" si="23"/>
        <v>210</v>
      </c>
      <c r="M230" s="17">
        <f t="shared" si="24"/>
        <v>21</v>
      </c>
      <c r="N230" s="92"/>
      <c r="O230" s="93"/>
    </row>
    <row r="231" spans="1:20">
      <c r="A231" s="18">
        <f t="shared" si="25"/>
        <v>217</v>
      </c>
      <c r="B231" s="19" t="s">
        <v>12</v>
      </c>
      <c r="C231" s="19">
        <v>20</v>
      </c>
      <c r="D231" s="19" t="s">
        <v>41</v>
      </c>
      <c r="E231" s="20">
        <v>24.41</v>
      </c>
      <c r="F231" s="20">
        <v>12</v>
      </c>
      <c r="G231" s="15">
        <f t="shared" si="26"/>
        <v>9.6000000000000002E-2</v>
      </c>
      <c r="H231" s="20"/>
      <c r="I231" s="20"/>
      <c r="J231" s="15">
        <f t="shared" si="21"/>
        <v>24.314</v>
      </c>
      <c r="K231" s="15">
        <f t="shared" si="22"/>
        <v>12</v>
      </c>
      <c r="L231" s="16">
        <f t="shared" si="23"/>
        <v>314</v>
      </c>
      <c r="M231" s="17">
        <f t="shared" si="24"/>
        <v>26.166666666666668</v>
      </c>
      <c r="N231" s="92"/>
      <c r="O231" s="93"/>
    </row>
    <row r="232" spans="1:20">
      <c r="A232" s="18">
        <f t="shared" si="25"/>
        <v>218</v>
      </c>
      <c r="B232" s="19" t="s">
        <v>12</v>
      </c>
      <c r="C232" s="19">
        <v>20</v>
      </c>
      <c r="D232" s="19" t="s">
        <v>45</v>
      </c>
      <c r="E232" s="20">
        <v>20.23</v>
      </c>
      <c r="F232" s="20">
        <v>10</v>
      </c>
      <c r="G232" s="15">
        <f t="shared" si="26"/>
        <v>0.08</v>
      </c>
      <c r="H232" s="20"/>
      <c r="I232" s="20"/>
      <c r="J232" s="15">
        <f t="shared" si="21"/>
        <v>20.150000000000002</v>
      </c>
      <c r="K232" s="15">
        <f t="shared" si="22"/>
        <v>10</v>
      </c>
      <c r="L232" s="16">
        <f t="shared" si="23"/>
        <v>150</v>
      </c>
      <c r="M232" s="17">
        <f t="shared" si="24"/>
        <v>15</v>
      </c>
      <c r="N232" s="92"/>
      <c r="O232" s="93"/>
    </row>
    <row r="233" spans="1:20">
      <c r="A233" s="18">
        <f t="shared" si="25"/>
        <v>219</v>
      </c>
      <c r="B233" s="19" t="s">
        <v>12</v>
      </c>
      <c r="C233" s="19">
        <v>20</v>
      </c>
      <c r="D233" s="19" t="s">
        <v>48</v>
      </c>
      <c r="E233" s="20">
        <v>20.25</v>
      </c>
      <c r="F233" s="20">
        <v>10</v>
      </c>
      <c r="G233" s="15">
        <f t="shared" si="26"/>
        <v>0.08</v>
      </c>
      <c r="H233" s="20"/>
      <c r="I233" s="20"/>
      <c r="J233" s="15">
        <f t="shared" si="21"/>
        <v>20.170000000000002</v>
      </c>
      <c r="K233" s="15">
        <f t="shared" si="22"/>
        <v>10</v>
      </c>
      <c r="L233" s="16">
        <f t="shared" si="23"/>
        <v>170</v>
      </c>
      <c r="M233" s="17">
        <f t="shared" si="24"/>
        <v>17</v>
      </c>
      <c r="N233" s="92"/>
      <c r="O233" s="93"/>
    </row>
    <row r="234" spans="1:20">
      <c r="A234" s="18">
        <f t="shared" si="25"/>
        <v>220</v>
      </c>
      <c r="B234" s="19" t="s">
        <v>12</v>
      </c>
      <c r="C234" s="19">
        <v>20</v>
      </c>
      <c r="D234" s="19" t="s">
        <v>44</v>
      </c>
      <c r="E234" s="20">
        <v>20.3</v>
      </c>
      <c r="F234" s="20">
        <v>10</v>
      </c>
      <c r="G234" s="15">
        <f t="shared" si="26"/>
        <v>0.08</v>
      </c>
      <c r="H234" s="20"/>
      <c r="I234" s="20"/>
      <c r="J234" s="15">
        <f t="shared" si="21"/>
        <v>20.220000000000002</v>
      </c>
      <c r="K234" s="15">
        <f t="shared" si="22"/>
        <v>10</v>
      </c>
      <c r="L234" s="16">
        <f t="shared" si="23"/>
        <v>220</v>
      </c>
      <c r="M234" s="17">
        <f t="shared" si="24"/>
        <v>22</v>
      </c>
      <c r="N234" s="92"/>
      <c r="O234" s="93"/>
    </row>
    <row r="235" spans="1:20">
      <c r="A235" s="18">
        <f t="shared" si="25"/>
        <v>221</v>
      </c>
      <c r="B235" s="19" t="s">
        <v>12</v>
      </c>
      <c r="C235" s="19">
        <v>20</v>
      </c>
      <c r="D235" s="19" t="s">
        <v>42</v>
      </c>
      <c r="E235" s="20">
        <v>20.32</v>
      </c>
      <c r="F235" s="20">
        <v>10</v>
      </c>
      <c r="G235" s="15">
        <f t="shared" si="26"/>
        <v>0.08</v>
      </c>
      <c r="H235" s="20"/>
      <c r="I235" s="20"/>
      <c r="J235" s="15">
        <f t="shared" si="21"/>
        <v>20.240000000000002</v>
      </c>
      <c r="K235" s="15">
        <f t="shared" si="22"/>
        <v>10</v>
      </c>
      <c r="L235" s="16">
        <f t="shared" si="23"/>
        <v>240</v>
      </c>
      <c r="M235" s="17">
        <f t="shared" si="24"/>
        <v>24</v>
      </c>
      <c r="N235" s="92"/>
      <c r="O235" s="93"/>
    </row>
    <row r="236" spans="1:20">
      <c r="A236" s="18">
        <f t="shared" si="25"/>
        <v>222</v>
      </c>
      <c r="B236" s="19" t="s">
        <v>12</v>
      </c>
      <c r="C236" s="19">
        <v>20</v>
      </c>
      <c r="D236" s="19" t="s">
        <v>41</v>
      </c>
      <c r="E236" s="20">
        <v>24.35</v>
      </c>
      <c r="F236" s="20">
        <v>12</v>
      </c>
      <c r="G236" s="15">
        <f t="shared" si="26"/>
        <v>9.6000000000000002E-2</v>
      </c>
      <c r="H236" s="20"/>
      <c r="I236" s="20"/>
      <c r="J236" s="15">
        <f t="shared" si="21"/>
        <v>24.254000000000001</v>
      </c>
      <c r="K236" s="15">
        <f t="shared" si="22"/>
        <v>12</v>
      </c>
      <c r="L236" s="16">
        <f t="shared" si="23"/>
        <v>254</v>
      </c>
      <c r="M236" s="17">
        <f t="shared" si="24"/>
        <v>21.166666666666668</v>
      </c>
      <c r="N236" s="92"/>
      <c r="O236" s="93"/>
    </row>
    <row r="237" spans="1:20">
      <c r="A237" s="18">
        <f t="shared" si="25"/>
        <v>223</v>
      </c>
      <c r="B237" s="19" t="s">
        <v>12</v>
      </c>
      <c r="C237" s="19">
        <v>20</v>
      </c>
      <c r="D237" s="19" t="s">
        <v>45</v>
      </c>
      <c r="E237" s="20">
        <v>20.22</v>
      </c>
      <c r="F237" s="20">
        <v>10</v>
      </c>
      <c r="G237" s="15">
        <f t="shared" si="26"/>
        <v>0.08</v>
      </c>
      <c r="H237" s="20"/>
      <c r="I237" s="20"/>
      <c r="J237" s="15">
        <f t="shared" si="21"/>
        <v>20.14</v>
      </c>
      <c r="K237" s="15">
        <f t="shared" si="22"/>
        <v>10</v>
      </c>
      <c r="L237" s="16">
        <f t="shared" si="23"/>
        <v>140</v>
      </c>
      <c r="M237" s="17">
        <f t="shared" si="24"/>
        <v>14</v>
      </c>
      <c r="N237" s="92"/>
      <c r="O237" s="93"/>
    </row>
    <row r="238" spans="1:20">
      <c r="A238" s="18">
        <f t="shared" si="25"/>
        <v>224</v>
      </c>
      <c r="B238" s="19" t="s">
        <v>12</v>
      </c>
      <c r="C238" s="19">
        <v>20</v>
      </c>
      <c r="D238" s="19" t="s">
        <v>48</v>
      </c>
      <c r="E238" s="20">
        <v>20.3</v>
      </c>
      <c r="F238" s="20">
        <v>10</v>
      </c>
      <c r="G238" s="15">
        <f t="shared" si="26"/>
        <v>0.08</v>
      </c>
      <c r="H238" s="20"/>
      <c r="I238" s="20"/>
      <c r="J238" s="15">
        <f t="shared" si="21"/>
        <v>20.220000000000002</v>
      </c>
      <c r="K238" s="15">
        <f t="shared" si="22"/>
        <v>10</v>
      </c>
      <c r="L238" s="16">
        <f t="shared" si="23"/>
        <v>220</v>
      </c>
      <c r="M238" s="17">
        <f t="shared" si="24"/>
        <v>22</v>
      </c>
      <c r="N238" s="92"/>
      <c r="O238" s="93"/>
    </row>
    <row r="239" spans="1:20">
      <c r="A239" s="18">
        <f t="shared" si="25"/>
        <v>225</v>
      </c>
      <c r="B239" s="19" t="s">
        <v>13</v>
      </c>
      <c r="C239" s="19">
        <v>20</v>
      </c>
      <c r="D239" s="19" t="s">
        <v>47</v>
      </c>
      <c r="E239" s="20">
        <v>20.32</v>
      </c>
      <c r="F239" s="20">
        <v>10</v>
      </c>
      <c r="G239" s="15">
        <f t="shared" si="26"/>
        <v>0.08</v>
      </c>
      <c r="H239" s="20"/>
      <c r="I239" s="20"/>
      <c r="J239" s="15">
        <f t="shared" si="21"/>
        <v>20.240000000000002</v>
      </c>
      <c r="K239" s="15">
        <f t="shared" si="22"/>
        <v>10</v>
      </c>
      <c r="L239" s="16">
        <f t="shared" si="23"/>
        <v>240</v>
      </c>
      <c r="M239" s="17">
        <f t="shared" si="24"/>
        <v>24</v>
      </c>
      <c r="N239" s="92"/>
      <c r="O239" s="93"/>
    </row>
    <row r="240" spans="1:20">
      <c r="A240" s="18">
        <f t="shared" si="25"/>
        <v>226</v>
      </c>
      <c r="B240" s="19" t="s">
        <v>13</v>
      </c>
      <c r="C240" s="19">
        <v>20</v>
      </c>
      <c r="D240" s="19" t="s">
        <v>42</v>
      </c>
      <c r="E240" s="20">
        <v>20.23</v>
      </c>
      <c r="F240" s="20">
        <v>10</v>
      </c>
      <c r="G240" s="15">
        <f t="shared" si="26"/>
        <v>0.08</v>
      </c>
      <c r="H240" s="20"/>
      <c r="I240" s="20"/>
      <c r="J240" s="15">
        <f t="shared" si="21"/>
        <v>20.150000000000002</v>
      </c>
      <c r="K240" s="15">
        <f t="shared" si="22"/>
        <v>10</v>
      </c>
      <c r="L240" s="16">
        <f t="shared" si="23"/>
        <v>150</v>
      </c>
      <c r="M240" s="17">
        <f t="shared" si="24"/>
        <v>15</v>
      </c>
      <c r="N240" s="92"/>
      <c r="O240" s="93"/>
    </row>
    <row r="241" spans="1:15">
      <c r="A241" s="18">
        <f t="shared" si="25"/>
        <v>227</v>
      </c>
      <c r="B241" s="19" t="s">
        <v>13</v>
      </c>
      <c r="C241" s="19">
        <v>20</v>
      </c>
      <c r="D241" s="19" t="s">
        <v>41</v>
      </c>
      <c r="E241" s="20">
        <v>24.27</v>
      </c>
      <c r="F241" s="20">
        <v>12</v>
      </c>
      <c r="G241" s="15">
        <f t="shared" si="26"/>
        <v>9.6000000000000002E-2</v>
      </c>
      <c r="H241" s="20"/>
      <c r="I241" s="20"/>
      <c r="J241" s="15">
        <f t="shared" si="21"/>
        <v>24.173999999999999</v>
      </c>
      <c r="K241" s="15">
        <f t="shared" si="22"/>
        <v>12</v>
      </c>
      <c r="L241" s="16">
        <f t="shared" si="23"/>
        <v>174</v>
      </c>
      <c r="M241" s="17">
        <f t="shared" si="24"/>
        <v>14.5</v>
      </c>
      <c r="N241" s="92"/>
      <c r="O241" s="93"/>
    </row>
    <row r="242" spans="1:15">
      <c r="A242" s="18">
        <f t="shared" si="25"/>
        <v>228</v>
      </c>
      <c r="B242" s="19" t="s">
        <v>13</v>
      </c>
      <c r="C242" s="19">
        <v>20</v>
      </c>
      <c r="D242" s="20" t="s">
        <v>45</v>
      </c>
      <c r="E242" s="20">
        <v>20.21</v>
      </c>
      <c r="F242" s="20">
        <v>10</v>
      </c>
      <c r="G242" s="15">
        <f t="shared" si="26"/>
        <v>0.08</v>
      </c>
      <c r="H242" s="20"/>
      <c r="I242" s="20"/>
      <c r="J242" s="15">
        <f t="shared" si="21"/>
        <v>20.130000000000003</v>
      </c>
      <c r="K242" s="15">
        <f t="shared" si="22"/>
        <v>10</v>
      </c>
      <c r="L242" s="16">
        <f t="shared" si="23"/>
        <v>130</v>
      </c>
      <c r="M242" s="17">
        <f t="shared" si="24"/>
        <v>13</v>
      </c>
      <c r="N242" s="92"/>
      <c r="O242" s="93"/>
    </row>
    <row r="243" spans="1:15">
      <c r="A243" s="18">
        <f t="shared" si="25"/>
        <v>229</v>
      </c>
      <c r="B243" s="19" t="s">
        <v>13</v>
      </c>
      <c r="C243" s="19">
        <v>20</v>
      </c>
      <c r="D243" s="19" t="s">
        <v>48</v>
      </c>
      <c r="E243" s="20">
        <v>20.149999999999999</v>
      </c>
      <c r="F243" s="20">
        <v>10</v>
      </c>
      <c r="G243" s="15">
        <f t="shared" si="26"/>
        <v>0.08</v>
      </c>
      <c r="H243" s="20"/>
      <c r="I243" s="20"/>
      <c r="J243" s="15">
        <f t="shared" si="21"/>
        <v>20.07</v>
      </c>
      <c r="K243" s="15">
        <f t="shared" si="22"/>
        <v>10</v>
      </c>
      <c r="L243" s="16">
        <f t="shared" si="23"/>
        <v>70</v>
      </c>
      <c r="M243" s="17">
        <f t="shared" si="24"/>
        <v>7</v>
      </c>
      <c r="N243" s="92"/>
      <c r="O243" s="93"/>
    </row>
    <row r="244" spans="1:15">
      <c r="A244" s="18">
        <f t="shared" si="25"/>
        <v>230</v>
      </c>
      <c r="B244" s="19" t="s">
        <v>13</v>
      </c>
      <c r="C244" s="19">
        <v>20</v>
      </c>
      <c r="D244" s="19" t="s">
        <v>47</v>
      </c>
      <c r="E244" s="20">
        <v>20.18</v>
      </c>
      <c r="F244" s="20">
        <v>10</v>
      </c>
      <c r="G244" s="15">
        <f t="shared" si="26"/>
        <v>0.08</v>
      </c>
      <c r="H244" s="20"/>
      <c r="I244" s="20"/>
      <c r="J244" s="15">
        <f t="shared" si="21"/>
        <v>20.100000000000001</v>
      </c>
      <c r="K244" s="15">
        <f t="shared" si="22"/>
        <v>10</v>
      </c>
      <c r="L244" s="16">
        <f t="shared" si="23"/>
        <v>100</v>
      </c>
      <c r="M244" s="17">
        <f t="shared" si="24"/>
        <v>10</v>
      </c>
      <c r="N244" s="92"/>
      <c r="O244" s="93"/>
    </row>
    <row r="245" spans="1:15">
      <c r="A245" s="18">
        <f t="shared" si="25"/>
        <v>231</v>
      </c>
      <c r="B245" s="19" t="s">
        <v>13</v>
      </c>
      <c r="C245" s="19">
        <v>20</v>
      </c>
      <c r="D245" s="19" t="s">
        <v>42</v>
      </c>
      <c r="E245" s="20">
        <v>20.27</v>
      </c>
      <c r="F245" s="20">
        <v>10</v>
      </c>
      <c r="G245" s="15">
        <f t="shared" si="26"/>
        <v>0.08</v>
      </c>
      <c r="H245" s="20"/>
      <c r="I245" s="20"/>
      <c r="J245" s="15">
        <f t="shared" si="21"/>
        <v>20.190000000000001</v>
      </c>
      <c r="K245" s="15">
        <f t="shared" si="22"/>
        <v>10</v>
      </c>
      <c r="L245" s="16">
        <f t="shared" si="23"/>
        <v>190</v>
      </c>
      <c r="M245" s="17">
        <f t="shared" si="24"/>
        <v>19</v>
      </c>
      <c r="N245" s="92"/>
      <c r="O245" s="93"/>
    </row>
    <row r="246" spans="1:15">
      <c r="A246" s="18">
        <f t="shared" si="25"/>
        <v>232</v>
      </c>
      <c r="B246" s="19" t="s">
        <v>13</v>
      </c>
      <c r="C246" s="19">
        <v>20</v>
      </c>
      <c r="D246" s="19" t="s">
        <v>45</v>
      </c>
      <c r="E246" s="20">
        <v>20.09</v>
      </c>
      <c r="F246" s="20">
        <v>10</v>
      </c>
      <c r="G246" s="15">
        <f t="shared" si="26"/>
        <v>0.08</v>
      </c>
      <c r="H246" s="20"/>
      <c r="I246" s="20"/>
      <c r="J246" s="15">
        <f t="shared" si="21"/>
        <v>20.010000000000002</v>
      </c>
      <c r="K246" s="15">
        <f t="shared" si="22"/>
        <v>10</v>
      </c>
      <c r="L246" s="16">
        <f t="shared" si="23"/>
        <v>10</v>
      </c>
      <c r="M246" s="17">
        <f t="shared" si="24"/>
        <v>1</v>
      </c>
      <c r="N246" s="92"/>
      <c r="O246" s="93"/>
    </row>
    <row r="247" spans="1:15">
      <c r="A247" s="18">
        <f t="shared" si="25"/>
        <v>233</v>
      </c>
      <c r="B247" s="19" t="s">
        <v>13</v>
      </c>
      <c r="C247" s="19">
        <v>20</v>
      </c>
      <c r="D247" s="19" t="s">
        <v>47</v>
      </c>
      <c r="E247" s="20">
        <v>20.02</v>
      </c>
      <c r="F247" s="20">
        <v>10</v>
      </c>
      <c r="G247" s="15">
        <f t="shared" si="26"/>
        <v>0.08</v>
      </c>
      <c r="H247" s="20"/>
      <c r="I247" s="20"/>
      <c r="J247" s="15">
        <f t="shared" si="21"/>
        <v>19.940000000000001</v>
      </c>
      <c r="K247" s="15">
        <f t="shared" si="22"/>
        <v>10</v>
      </c>
      <c r="L247" s="16">
        <f t="shared" si="23"/>
        <v>-60</v>
      </c>
      <c r="M247" s="17">
        <f t="shared" si="24"/>
        <v>-6</v>
      </c>
      <c r="N247" s="122" t="s">
        <v>50</v>
      </c>
      <c r="O247" s="123"/>
    </row>
    <row r="248" spans="1:15">
      <c r="A248" s="18">
        <f t="shared" si="25"/>
        <v>234</v>
      </c>
      <c r="B248" s="19" t="s">
        <v>13</v>
      </c>
      <c r="C248" s="19">
        <v>20</v>
      </c>
      <c r="D248" s="19" t="s">
        <v>42</v>
      </c>
      <c r="E248" s="20">
        <v>20.079999999999998</v>
      </c>
      <c r="F248" s="20">
        <v>10</v>
      </c>
      <c r="G248" s="15">
        <f t="shared" si="26"/>
        <v>0.08</v>
      </c>
      <c r="H248" s="20"/>
      <c r="I248" s="20"/>
      <c r="J248" s="15">
        <f t="shared" si="21"/>
        <v>20</v>
      </c>
      <c r="K248" s="15">
        <f t="shared" si="22"/>
        <v>10</v>
      </c>
      <c r="L248" s="16">
        <f t="shared" si="23"/>
        <v>0</v>
      </c>
      <c r="M248" s="17">
        <f t="shared" si="24"/>
        <v>0</v>
      </c>
      <c r="N248" s="122" t="s">
        <v>50</v>
      </c>
      <c r="O248" s="123"/>
    </row>
    <row r="249" spans="1:15">
      <c r="A249" s="18">
        <f t="shared" si="25"/>
        <v>235</v>
      </c>
      <c r="B249" s="19" t="s">
        <v>13</v>
      </c>
      <c r="C249" s="19">
        <v>20</v>
      </c>
      <c r="D249" s="19" t="s">
        <v>48</v>
      </c>
      <c r="E249" s="20">
        <v>20.010000000000002</v>
      </c>
      <c r="F249" s="20">
        <v>10</v>
      </c>
      <c r="G249" s="15">
        <f t="shared" si="26"/>
        <v>0.08</v>
      </c>
      <c r="H249" s="20"/>
      <c r="I249" s="20"/>
      <c r="J249" s="15">
        <f t="shared" si="21"/>
        <v>19.930000000000003</v>
      </c>
      <c r="K249" s="15">
        <f t="shared" si="22"/>
        <v>10</v>
      </c>
      <c r="L249" s="16">
        <f t="shared" si="23"/>
        <v>-70</v>
      </c>
      <c r="M249" s="17">
        <f t="shared" si="24"/>
        <v>-7</v>
      </c>
      <c r="N249" s="122" t="s">
        <v>50</v>
      </c>
      <c r="O249" s="123"/>
    </row>
    <row r="250" spans="1:15">
      <c r="A250" s="18">
        <f t="shared" si="25"/>
        <v>236</v>
      </c>
      <c r="B250" s="19" t="s">
        <v>13</v>
      </c>
      <c r="C250" s="19">
        <v>20</v>
      </c>
      <c r="D250" s="19" t="s">
        <v>41</v>
      </c>
      <c r="E250" s="20">
        <v>20.27</v>
      </c>
      <c r="F250" s="20">
        <v>10</v>
      </c>
      <c r="G250" s="15">
        <f t="shared" si="26"/>
        <v>0.08</v>
      </c>
      <c r="H250" s="20"/>
      <c r="I250" s="20"/>
      <c r="J250" s="15">
        <f t="shared" si="21"/>
        <v>20.190000000000001</v>
      </c>
      <c r="K250" s="15">
        <f t="shared" si="22"/>
        <v>10</v>
      </c>
      <c r="L250" s="16">
        <f t="shared" si="23"/>
        <v>190</v>
      </c>
      <c r="M250" s="17">
        <f t="shared" si="24"/>
        <v>19</v>
      </c>
      <c r="N250" s="122" t="s">
        <v>50</v>
      </c>
      <c r="O250" s="123"/>
    </row>
    <row r="251" spans="1:15">
      <c r="A251" s="18">
        <f t="shared" si="25"/>
        <v>237</v>
      </c>
      <c r="B251" s="19" t="s">
        <v>13</v>
      </c>
      <c r="C251" s="19">
        <v>20</v>
      </c>
      <c r="D251" s="19" t="s">
        <v>41</v>
      </c>
      <c r="E251" s="20">
        <v>20.03</v>
      </c>
      <c r="F251" s="20">
        <v>10</v>
      </c>
      <c r="G251" s="15">
        <f t="shared" si="26"/>
        <v>0.08</v>
      </c>
      <c r="H251" s="20"/>
      <c r="I251" s="20"/>
      <c r="J251" s="15">
        <f t="shared" si="21"/>
        <v>19.950000000000003</v>
      </c>
      <c r="K251" s="15">
        <f t="shared" si="22"/>
        <v>10</v>
      </c>
      <c r="L251" s="16">
        <f t="shared" si="23"/>
        <v>-50</v>
      </c>
      <c r="M251" s="17">
        <f t="shared" si="24"/>
        <v>-5</v>
      </c>
      <c r="N251" s="122" t="s">
        <v>50</v>
      </c>
      <c r="O251" s="123"/>
    </row>
    <row r="252" spans="1:15">
      <c r="A252" s="18">
        <f t="shared" si="25"/>
        <v>238</v>
      </c>
      <c r="B252" s="19" t="s">
        <v>13</v>
      </c>
      <c r="C252" s="19">
        <v>20</v>
      </c>
      <c r="D252" s="19" t="s">
        <v>47</v>
      </c>
      <c r="E252" s="20">
        <v>20.04</v>
      </c>
      <c r="F252" s="20">
        <v>10</v>
      </c>
      <c r="G252" s="15">
        <f t="shared" si="26"/>
        <v>0.08</v>
      </c>
      <c r="H252" s="20"/>
      <c r="I252" s="20"/>
      <c r="J252" s="15">
        <f t="shared" si="21"/>
        <v>19.96</v>
      </c>
      <c r="K252" s="15">
        <f t="shared" si="22"/>
        <v>10</v>
      </c>
      <c r="L252" s="16">
        <f t="shared" si="23"/>
        <v>-40</v>
      </c>
      <c r="M252" s="17">
        <f t="shared" si="24"/>
        <v>-4</v>
      </c>
      <c r="N252" s="122" t="s">
        <v>50</v>
      </c>
      <c r="O252" s="123"/>
    </row>
    <row r="253" spans="1:15">
      <c r="A253" s="18">
        <f t="shared" si="25"/>
        <v>239</v>
      </c>
      <c r="B253" s="19" t="s">
        <v>13</v>
      </c>
      <c r="C253" s="19">
        <v>20</v>
      </c>
      <c r="D253" s="19" t="s">
        <v>45</v>
      </c>
      <c r="E253" s="20">
        <v>20.059999999999999</v>
      </c>
      <c r="F253" s="20">
        <v>10</v>
      </c>
      <c r="G253" s="15">
        <f t="shared" si="26"/>
        <v>0.08</v>
      </c>
      <c r="H253" s="20"/>
      <c r="I253" s="20"/>
      <c r="J253" s="15">
        <f t="shared" si="21"/>
        <v>19.98</v>
      </c>
      <c r="K253" s="15">
        <f t="shared" si="22"/>
        <v>10</v>
      </c>
      <c r="L253" s="16">
        <f t="shared" si="23"/>
        <v>-20</v>
      </c>
      <c r="M253" s="17">
        <f t="shared" si="24"/>
        <v>-2</v>
      </c>
      <c r="N253" s="122" t="s">
        <v>50</v>
      </c>
      <c r="O253" s="123"/>
    </row>
    <row r="254" spans="1:15">
      <c r="A254" s="18">
        <f t="shared" si="25"/>
        <v>240</v>
      </c>
      <c r="B254" s="19" t="s">
        <v>13</v>
      </c>
      <c r="C254" s="19">
        <v>20</v>
      </c>
      <c r="D254" s="19" t="s">
        <v>42</v>
      </c>
      <c r="E254" s="20">
        <v>20</v>
      </c>
      <c r="F254" s="20">
        <v>10</v>
      </c>
      <c r="G254" s="15">
        <f t="shared" si="26"/>
        <v>0.08</v>
      </c>
      <c r="H254" s="20"/>
      <c r="I254" s="20"/>
      <c r="J254" s="15">
        <f t="shared" si="21"/>
        <v>19.920000000000002</v>
      </c>
      <c r="K254" s="15">
        <f t="shared" si="22"/>
        <v>10</v>
      </c>
      <c r="L254" s="16">
        <f t="shared" si="23"/>
        <v>-80</v>
      </c>
      <c r="M254" s="17">
        <f t="shared" si="24"/>
        <v>-8</v>
      </c>
      <c r="N254" s="122" t="s">
        <v>50</v>
      </c>
      <c r="O254" s="123"/>
    </row>
    <row r="255" spans="1:15">
      <c r="A255" s="18">
        <f t="shared" si="25"/>
        <v>241</v>
      </c>
      <c r="B255" s="19" t="s">
        <v>13</v>
      </c>
      <c r="C255" s="19">
        <v>20</v>
      </c>
      <c r="D255" s="19" t="s">
        <v>47</v>
      </c>
      <c r="E255" s="20">
        <v>20.079999999999998</v>
      </c>
      <c r="F255" s="20">
        <v>10</v>
      </c>
      <c r="G255" s="15">
        <f t="shared" si="26"/>
        <v>0.08</v>
      </c>
      <c r="H255" s="20"/>
      <c r="I255" s="20"/>
      <c r="J255" s="15">
        <f t="shared" si="21"/>
        <v>20</v>
      </c>
      <c r="K255" s="15">
        <f t="shared" si="22"/>
        <v>10</v>
      </c>
      <c r="L255" s="16">
        <f t="shared" si="23"/>
        <v>0</v>
      </c>
      <c r="M255" s="17">
        <f t="shared" si="24"/>
        <v>0</v>
      </c>
      <c r="N255" s="122" t="s">
        <v>50</v>
      </c>
      <c r="O255" s="123"/>
    </row>
    <row r="256" spans="1:15">
      <c r="A256" s="18">
        <f t="shared" si="25"/>
        <v>242</v>
      </c>
      <c r="B256" s="19" t="s">
        <v>13</v>
      </c>
      <c r="C256" s="19">
        <v>20</v>
      </c>
      <c r="D256" s="19" t="s">
        <v>44</v>
      </c>
      <c r="E256" s="20">
        <v>20.04</v>
      </c>
      <c r="F256" s="20">
        <v>10</v>
      </c>
      <c r="G256" s="15">
        <f t="shared" si="26"/>
        <v>0.08</v>
      </c>
      <c r="H256" s="20"/>
      <c r="I256" s="20"/>
      <c r="J256" s="15">
        <f t="shared" si="21"/>
        <v>19.96</v>
      </c>
      <c r="K256" s="15">
        <f t="shared" si="22"/>
        <v>10</v>
      </c>
      <c r="L256" s="16">
        <f t="shared" si="23"/>
        <v>-40</v>
      </c>
      <c r="M256" s="17">
        <f t="shared" si="24"/>
        <v>-4</v>
      </c>
      <c r="N256" s="122" t="s">
        <v>50</v>
      </c>
      <c r="O256" s="123"/>
    </row>
    <row r="257" spans="1:15">
      <c r="A257" s="18">
        <f t="shared" si="25"/>
        <v>243</v>
      </c>
      <c r="B257" s="19" t="s">
        <v>13</v>
      </c>
      <c r="C257" s="19">
        <v>20</v>
      </c>
      <c r="D257" s="19" t="s">
        <v>48</v>
      </c>
      <c r="E257" s="20">
        <v>20.09</v>
      </c>
      <c r="F257" s="20">
        <v>10</v>
      </c>
      <c r="G257" s="15">
        <f t="shared" si="26"/>
        <v>0.08</v>
      </c>
      <c r="H257" s="20"/>
      <c r="I257" s="20"/>
      <c r="J257" s="15">
        <f t="shared" si="21"/>
        <v>20.010000000000002</v>
      </c>
      <c r="K257" s="15">
        <f t="shared" si="22"/>
        <v>10</v>
      </c>
      <c r="L257" s="16">
        <f t="shared" si="23"/>
        <v>10</v>
      </c>
      <c r="M257" s="17">
        <f t="shared" si="24"/>
        <v>1</v>
      </c>
      <c r="N257" s="122" t="s">
        <v>50</v>
      </c>
      <c r="O257" s="123"/>
    </row>
    <row r="258" spans="1:15">
      <c r="A258" s="18">
        <f t="shared" si="25"/>
        <v>244</v>
      </c>
      <c r="B258" s="19" t="s">
        <v>13</v>
      </c>
      <c r="C258" s="19">
        <v>20</v>
      </c>
      <c r="D258" s="19" t="s">
        <v>45</v>
      </c>
      <c r="E258" s="20">
        <v>20.100000000000001</v>
      </c>
      <c r="F258" s="20">
        <v>10</v>
      </c>
      <c r="G258" s="15">
        <f t="shared" si="26"/>
        <v>0.08</v>
      </c>
      <c r="H258" s="20"/>
      <c r="I258" s="20"/>
      <c r="J258" s="15">
        <f t="shared" si="21"/>
        <v>20.020000000000003</v>
      </c>
      <c r="K258" s="15">
        <f t="shared" si="22"/>
        <v>10</v>
      </c>
      <c r="L258" s="16">
        <f t="shared" si="23"/>
        <v>20</v>
      </c>
      <c r="M258" s="17">
        <f t="shared" si="24"/>
        <v>2</v>
      </c>
      <c r="N258" s="122" t="s">
        <v>50</v>
      </c>
      <c r="O258" s="123"/>
    </row>
    <row r="259" spans="1:15">
      <c r="A259" s="18">
        <f t="shared" si="25"/>
        <v>245</v>
      </c>
      <c r="B259" s="19" t="s">
        <v>13</v>
      </c>
      <c r="C259" s="19">
        <v>20</v>
      </c>
      <c r="D259" s="19" t="s">
        <v>47</v>
      </c>
      <c r="E259" s="20">
        <v>20.05</v>
      </c>
      <c r="F259" s="20">
        <v>10</v>
      </c>
      <c r="G259" s="15">
        <f t="shared" si="26"/>
        <v>0.08</v>
      </c>
      <c r="H259" s="20"/>
      <c r="I259" s="20"/>
      <c r="J259" s="15">
        <f t="shared" si="21"/>
        <v>19.970000000000002</v>
      </c>
      <c r="K259" s="15">
        <f t="shared" si="22"/>
        <v>10</v>
      </c>
      <c r="L259" s="16">
        <f t="shared" si="23"/>
        <v>-30</v>
      </c>
      <c r="M259" s="17">
        <f t="shared" si="24"/>
        <v>-3</v>
      </c>
      <c r="N259" s="122" t="s">
        <v>50</v>
      </c>
      <c r="O259" s="123"/>
    </row>
    <row r="260" spans="1:15">
      <c r="A260" s="18">
        <f t="shared" si="25"/>
        <v>246</v>
      </c>
      <c r="B260" s="19" t="s">
        <v>13</v>
      </c>
      <c r="C260" s="19">
        <v>20</v>
      </c>
      <c r="D260" s="19" t="s">
        <v>42</v>
      </c>
      <c r="E260" s="20">
        <v>20.18</v>
      </c>
      <c r="F260" s="20">
        <v>10</v>
      </c>
      <c r="G260" s="15">
        <f t="shared" si="26"/>
        <v>0.08</v>
      </c>
      <c r="H260" s="20"/>
      <c r="I260" s="20"/>
      <c r="J260" s="15">
        <f t="shared" si="21"/>
        <v>20.100000000000001</v>
      </c>
      <c r="K260" s="15">
        <f t="shared" si="22"/>
        <v>10</v>
      </c>
      <c r="L260" s="16">
        <f t="shared" si="23"/>
        <v>100</v>
      </c>
      <c r="M260" s="17">
        <f t="shared" si="24"/>
        <v>10</v>
      </c>
      <c r="N260" s="122" t="s">
        <v>50</v>
      </c>
      <c r="O260" s="123"/>
    </row>
    <row r="261" spans="1:15">
      <c r="A261" s="18">
        <f t="shared" si="25"/>
        <v>247</v>
      </c>
      <c r="B261" s="19" t="s">
        <v>13</v>
      </c>
      <c r="C261" s="19">
        <v>20</v>
      </c>
      <c r="D261" s="19" t="s">
        <v>48</v>
      </c>
      <c r="E261" s="20">
        <v>20.05</v>
      </c>
      <c r="F261" s="20">
        <v>10</v>
      </c>
      <c r="G261" s="15">
        <f t="shared" si="26"/>
        <v>0.08</v>
      </c>
      <c r="H261" s="20"/>
      <c r="I261" s="20"/>
      <c r="J261" s="15">
        <f t="shared" si="21"/>
        <v>19.970000000000002</v>
      </c>
      <c r="K261" s="15">
        <f t="shared" si="22"/>
        <v>10</v>
      </c>
      <c r="L261" s="16">
        <f t="shared" si="23"/>
        <v>-30</v>
      </c>
      <c r="M261" s="17">
        <f t="shared" si="24"/>
        <v>-3</v>
      </c>
      <c r="N261" s="122" t="s">
        <v>50</v>
      </c>
      <c r="O261" s="123"/>
    </row>
    <row r="262" spans="1:15">
      <c r="A262" s="18">
        <f t="shared" si="25"/>
        <v>248</v>
      </c>
      <c r="B262" s="19" t="s">
        <v>13</v>
      </c>
      <c r="C262" s="19">
        <v>20</v>
      </c>
      <c r="D262" s="19" t="s">
        <v>45</v>
      </c>
      <c r="E262" s="20">
        <v>20.100000000000001</v>
      </c>
      <c r="F262" s="20">
        <v>10</v>
      </c>
      <c r="G262" s="15">
        <f t="shared" si="26"/>
        <v>0.08</v>
      </c>
      <c r="H262" s="20"/>
      <c r="I262" s="20"/>
      <c r="J262" s="15">
        <f t="shared" si="21"/>
        <v>20.020000000000003</v>
      </c>
      <c r="K262" s="15">
        <f t="shared" si="22"/>
        <v>10</v>
      </c>
      <c r="L262" s="16">
        <f t="shared" si="23"/>
        <v>20</v>
      </c>
      <c r="M262" s="17">
        <f t="shared" si="24"/>
        <v>2</v>
      </c>
      <c r="N262" s="122" t="s">
        <v>50</v>
      </c>
      <c r="O262" s="123"/>
    </row>
    <row r="263" spans="1:15">
      <c r="A263" s="18">
        <f t="shared" si="25"/>
        <v>249</v>
      </c>
      <c r="B263" s="19" t="s">
        <v>13</v>
      </c>
      <c r="C263" s="19">
        <v>20</v>
      </c>
      <c r="D263" s="19" t="s">
        <v>44</v>
      </c>
      <c r="E263" s="20">
        <v>20.100000000000001</v>
      </c>
      <c r="F263" s="20">
        <v>10</v>
      </c>
      <c r="G263" s="15">
        <f t="shared" si="26"/>
        <v>0.08</v>
      </c>
      <c r="H263" s="20"/>
      <c r="I263" s="20"/>
      <c r="J263" s="15">
        <f t="shared" si="21"/>
        <v>20.020000000000003</v>
      </c>
      <c r="K263" s="15">
        <f t="shared" si="22"/>
        <v>10</v>
      </c>
      <c r="L263" s="16">
        <f t="shared" si="23"/>
        <v>20</v>
      </c>
      <c r="M263" s="17">
        <f t="shared" si="24"/>
        <v>2</v>
      </c>
      <c r="N263" s="122" t="s">
        <v>50</v>
      </c>
      <c r="O263" s="123"/>
    </row>
    <row r="264" spans="1:15">
      <c r="A264" s="18">
        <f t="shared" si="25"/>
        <v>250</v>
      </c>
      <c r="B264" s="19" t="s">
        <v>13</v>
      </c>
      <c r="C264" s="19">
        <v>20</v>
      </c>
      <c r="D264" s="19" t="s">
        <v>47</v>
      </c>
      <c r="E264" s="20">
        <v>20.05</v>
      </c>
      <c r="F264" s="20">
        <v>10</v>
      </c>
      <c r="G264" s="15">
        <f t="shared" si="26"/>
        <v>0.08</v>
      </c>
      <c r="H264" s="20"/>
      <c r="I264" s="20"/>
      <c r="J264" s="15">
        <f t="shared" si="21"/>
        <v>19.970000000000002</v>
      </c>
      <c r="K264" s="15">
        <f t="shared" si="22"/>
        <v>10</v>
      </c>
      <c r="L264" s="16">
        <f t="shared" si="23"/>
        <v>-30</v>
      </c>
      <c r="M264" s="17">
        <f t="shared" si="24"/>
        <v>-3</v>
      </c>
      <c r="N264" s="122" t="s">
        <v>50</v>
      </c>
      <c r="O264" s="123"/>
    </row>
    <row r="265" spans="1:15">
      <c r="A265" s="18">
        <f t="shared" si="25"/>
        <v>251</v>
      </c>
      <c r="B265" s="19" t="s">
        <v>13</v>
      </c>
      <c r="C265" s="19">
        <v>20</v>
      </c>
      <c r="D265" s="19" t="s">
        <v>42</v>
      </c>
      <c r="E265" s="20">
        <v>20.18</v>
      </c>
      <c r="F265" s="20">
        <v>10</v>
      </c>
      <c r="G265" s="15">
        <f t="shared" si="26"/>
        <v>0.08</v>
      </c>
      <c r="H265" s="20"/>
      <c r="I265" s="20"/>
      <c r="J265" s="15">
        <f t="shared" si="21"/>
        <v>20.100000000000001</v>
      </c>
      <c r="K265" s="15">
        <f t="shared" si="22"/>
        <v>10</v>
      </c>
      <c r="L265" s="16">
        <f t="shared" si="23"/>
        <v>100</v>
      </c>
      <c r="M265" s="17">
        <f t="shared" si="24"/>
        <v>10</v>
      </c>
      <c r="N265" s="122" t="s">
        <v>50</v>
      </c>
      <c r="O265" s="123"/>
    </row>
    <row r="266" spans="1:15">
      <c r="A266" s="18">
        <f t="shared" si="25"/>
        <v>252</v>
      </c>
      <c r="B266" s="19" t="s">
        <v>18</v>
      </c>
      <c r="C266" s="19">
        <v>20</v>
      </c>
      <c r="D266" s="19" t="s">
        <v>45</v>
      </c>
      <c r="E266" s="20">
        <v>20.100000000000001</v>
      </c>
      <c r="F266" s="20">
        <v>10</v>
      </c>
      <c r="G266" s="15">
        <f t="shared" si="26"/>
        <v>0.08</v>
      </c>
      <c r="H266" s="20"/>
      <c r="I266" s="20"/>
      <c r="J266" s="15">
        <f t="shared" si="21"/>
        <v>20.020000000000003</v>
      </c>
      <c r="K266" s="15">
        <f t="shared" si="22"/>
        <v>10</v>
      </c>
      <c r="L266" s="16">
        <f t="shared" si="23"/>
        <v>20</v>
      </c>
      <c r="M266" s="17">
        <f t="shared" si="24"/>
        <v>2</v>
      </c>
      <c r="N266" s="122" t="s">
        <v>50</v>
      </c>
      <c r="O266" s="123"/>
    </row>
    <row r="267" spans="1:15">
      <c r="A267" s="18">
        <f t="shared" si="25"/>
        <v>253</v>
      </c>
      <c r="B267" s="19" t="s">
        <v>18</v>
      </c>
      <c r="C267" s="19">
        <v>20</v>
      </c>
      <c r="D267" s="19" t="s">
        <v>48</v>
      </c>
      <c r="E267" s="20">
        <v>20.059999999999999</v>
      </c>
      <c r="F267" s="20">
        <v>10</v>
      </c>
      <c r="G267" s="15">
        <f t="shared" si="26"/>
        <v>0.08</v>
      </c>
      <c r="H267" s="20"/>
      <c r="I267" s="20"/>
      <c r="J267" s="15">
        <f t="shared" si="21"/>
        <v>19.98</v>
      </c>
      <c r="K267" s="15">
        <f t="shared" si="22"/>
        <v>10</v>
      </c>
      <c r="L267" s="16">
        <f t="shared" si="23"/>
        <v>-20</v>
      </c>
      <c r="M267" s="17">
        <f t="shared" si="24"/>
        <v>-2</v>
      </c>
      <c r="N267" s="122" t="s">
        <v>50</v>
      </c>
      <c r="O267" s="123"/>
    </row>
    <row r="268" spans="1:15">
      <c r="A268" s="18">
        <f t="shared" si="25"/>
        <v>254</v>
      </c>
      <c r="B268" s="19" t="s">
        <v>18</v>
      </c>
      <c r="C268" s="19">
        <v>20</v>
      </c>
      <c r="D268" s="19" t="s">
        <v>47</v>
      </c>
      <c r="E268" s="20">
        <v>20.05</v>
      </c>
      <c r="F268" s="20">
        <v>10</v>
      </c>
      <c r="G268" s="15">
        <f t="shared" si="26"/>
        <v>0.08</v>
      </c>
      <c r="H268" s="20"/>
      <c r="I268" s="20"/>
      <c r="J268" s="15">
        <f t="shared" si="21"/>
        <v>19.970000000000002</v>
      </c>
      <c r="K268" s="15">
        <f t="shared" si="22"/>
        <v>10</v>
      </c>
      <c r="L268" s="16">
        <f t="shared" si="23"/>
        <v>-30</v>
      </c>
      <c r="M268" s="17">
        <f t="shared" si="24"/>
        <v>-3</v>
      </c>
      <c r="N268" s="122" t="s">
        <v>50</v>
      </c>
      <c r="O268" s="123"/>
    </row>
    <row r="269" spans="1:15">
      <c r="A269" s="18">
        <f t="shared" si="25"/>
        <v>255</v>
      </c>
      <c r="B269" s="19" t="s">
        <v>18</v>
      </c>
      <c r="C269" s="19">
        <v>20</v>
      </c>
      <c r="D269" s="19" t="s">
        <v>45</v>
      </c>
      <c r="E269" s="20">
        <v>20.079999999999998</v>
      </c>
      <c r="F269" s="20">
        <v>10</v>
      </c>
      <c r="G269" s="15">
        <f t="shared" si="26"/>
        <v>0.08</v>
      </c>
      <c r="H269" s="20"/>
      <c r="I269" s="20"/>
      <c r="J269" s="15">
        <f t="shared" si="21"/>
        <v>20</v>
      </c>
      <c r="K269" s="15">
        <f t="shared" si="22"/>
        <v>10</v>
      </c>
      <c r="L269" s="16">
        <f t="shared" si="23"/>
        <v>0</v>
      </c>
      <c r="M269" s="17">
        <f t="shared" si="24"/>
        <v>0</v>
      </c>
      <c r="N269" s="122" t="s">
        <v>50</v>
      </c>
      <c r="O269" s="123"/>
    </row>
    <row r="270" spans="1:15">
      <c r="A270" s="18">
        <f t="shared" si="25"/>
        <v>256</v>
      </c>
      <c r="B270" s="19" t="s">
        <v>18</v>
      </c>
      <c r="C270" s="19">
        <v>20</v>
      </c>
      <c r="D270" s="19" t="s">
        <v>42</v>
      </c>
      <c r="E270" s="20">
        <v>20.11</v>
      </c>
      <c r="F270" s="20">
        <v>10</v>
      </c>
      <c r="G270" s="15">
        <f t="shared" si="26"/>
        <v>0.08</v>
      </c>
      <c r="H270" s="20"/>
      <c r="I270" s="20"/>
      <c r="J270" s="15">
        <f t="shared" si="21"/>
        <v>20.03</v>
      </c>
      <c r="K270" s="15">
        <f t="shared" si="22"/>
        <v>10</v>
      </c>
      <c r="L270" s="16">
        <f t="shared" si="23"/>
        <v>30</v>
      </c>
      <c r="M270" s="17">
        <f t="shared" si="24"/>
        <v>3</v>
      </c>
      <c r="N270" s="122" t="s">
        <v>50</v>
      </c>
      <c r="O270" s="123"/>
    </row>
    <row r="271" spans="1:15">
      <c r="A271" s="18">
        <f t="shared" si="25"/>
        <v>257</v>
      </c>
      <c r="B271" s="19" t="s">
        <v>18</v>
      </c>
      <c r="C271" s="19">
        <v>20</v>
      </c>
      <c r="D271" s="19" t="s">
        <v>48</v>
      </c>
      <c r="E271" s="20">
        <v>20.04</v>
      </c>
      <c r="F271" s="20">
        <v>10</v>
      </c>
      <c r="G271" s="15">
        <f t="shared" ref="G271:G334" si="27">+F271*$E$6/1000</f>
        <v>0.08</v>
      </c>
      <c r="H271" s="20"/>
      <c r="I271" s="20"/>
      <c r="J271" s="15">
        <f t="shared" si="21"/>
        <v>19.96</v>
      </c>
      <c r="K271" s="15">
        <f t="shared" si="22"/>
        <v>10</v>
      </c>
      <c r="L271" s="16">
        <f t="shared" si="23"/>
        <v>-40</v>
      </c>
      <c r="M271" s="17">
        <f t="shared" si="24"/>
        <v>-4</v>
      </c>
      <c r="N271" s="122" t="s">
        <v>50</v>
      </c>
      <c r="O271" s="123"/>
    </row>
    <row r="272" spans="1:15">
      <c r="A272" s="18">
        <f t="shared" si="25"/>
        <v>258</v>
      </c>
      <c r="B272" s="19" t="s">
        <v>18</v>
      </c>
      <c r="C272" s="19">
        <v>20</v>
      </c>
      <c r="D272" s="19" t="s">
        <v>47</v>
      </c>
      <c r="E272" s="20">
        <v>20.07</v>
      </c>
      <c r="F272" s="20">
        <v>10</v>
      </c>
      <c r="G272" s="15">
        <f t="shared" si="27"/>
        <v>0.08</v>
      </c>
      <c r="H272" s="20"/>
      <c r="I272" s="20"/>
      <c r="J272" s="15">
        <f t="shared" ref="J272:J335" si="28">+E272-G272-H272</f>
        <v>19.990000000000002</v>
      </c>
      <c r="K272" s="15">
        <f t="shared" ref="K272:K335" si="29">+F272-I272</f>
        <v>10</v>
      </c>
      <c r="L272" s="16">
        <f t="shared" ref="L272:L335" si="30">IF(E272*1000-F272*$E$8=0,0,E272*1000-F272*$E$8)</f>
        <v>-10</v>
      </c>
      <c r="M272" s="17">
        <f t="shared" ref="M272:M335" si="31">IF(F272=0,"-",L272/F272)</f>
        <v>-1</v>
      </c>
      <c r="N272" s="122" t="s">
        <v>50</v>
      </c>
      <c r="O272" s="123"/>
    </row>
    <row r="273" spans="1:15">
      <c r="A273" s="18">
        <f t="shared" ref="A273:A336" si="32">+A272+1</f>
        <v>259</v>
      </c>
      <c r="B273" s="19" t="s">
        <v>18</v>
      </c>
      <c r="C273" s="19">
        <v>20</v>
      </c>
      <c r="D273" s="19" t="s">
        <v>45</v>
      </c>
      <c r="E273" s="20">
        <v>20.09</v>
      </c>
      <c r="F273" s="20">
        <v>10</v>
      </c>
      <c r="G273" s="15">
        <f t="shared" si="27"/>
        <v>0.08</v>
      </c>
      <c r="H273" s="20"/>
      <c r="I273" s="20"/>
      <c r="J273" s="15">
        <f t="shared" si="28"/>
        <v>20.010000000000002</v>
      </c>
      <c r="K273" s="15">
        <f t="shared" si="29"/>
        <v>10</v>
      </c>
      <c r="L273" s="16">
        <f t="shared" si="30"/>
        <v>10</v>
      </c>
      <c r="M273" s="17">
        <f t="shared" si="31"/>
        <v>1</v>
      </c>
      <c r="N273" s="122" t="s">
        <v>50</v>
      </c>
      <c r="O273" s="123"/>
    </row>
    <row r="274" spans="1:15">
      <c r="A274" s="18">
        <f t="shared" si="32"/>
        <v>260</v>
      </c>
      <c r="B274" s="19" t="s">
        <v>18</v>
      </c>
      <c r="C274" s="19">
        <v>20</v>
      </c>
      <c r="D274" s="19" t="s">
        <v>42</v>
      </c>
      <c r="E274" s="20">
        <v>20.12</v>
      </c>
      <c r="F274" s="20">
        <v>10</v>
      </c>
      <c r="G274" s="15">
        <f t="shared" si="27"/>
        <v>0.08</v>
      </c>
      <c r="H274" s="20"/>
      <c r="I274" s="20"/>
      <c r="J274" s="15">
        <f t="shared" si="28"/>
        <v>20.040000000000003</v>
      </c>
      <c r="K274" s="15">
        <f t="shared" si="29"/>
        <v>10</v>
      </c>
      <c r="L274" s="16">
        <f t="shared" si="30"/>
        <v>40</v>
      </c>
      <c r="M274" s="17">
        <f t="shared" si="31"/>
        <v>4</v>
      </c>
      <c r="N274" s="122" t="s">
        <v>50</v>
      </c>
      <c r="O274" s="123"/>
    </row>
    <row r="275" spans="1:15">
      <c r="A275" s="18">
        <f t="shared" si="32"/>
        <v>261</v>
      </c>
      <c r="B275" s="19" t="s">
        <v>18</v>
      </c>
      <c r="C275" s="19">
        <v>20</v>
      </c>
      <c r="D275" s="19" t="s">
        <v>48</v>
      </c>
      <c r="E275" s="20">
        <v>20.12</v>
      </c>
      <c r="F275" s="20">
        <v>10</v>
      </c>
      <c r="G275" s="15">
        <f t="shared" si="27"/>
        <v>0.08</v>
      </c>
      <c r="H275" s="20"/>
      <c r="I275" s="20"/>
      <c r="J275" s="15">
        <f t="shared" si="28"/>
        <v>20.040000000000003</v>
      </c>
      <c r="K275" s="15">
        <f t="shared" si="29"/>
        <v>10</v>
      </c>
      <c r="L275" s="16">
        <f t="shared" si="30"/>
        <v>40</v>
      </c>
      <c r="M275" s="17">
        <f t="shared" si="31"/>
        <v>4</v>
      </c>
      <c r="N275" s="122" t="s">
        <v>50</v>
      </c>
      <c r="O275" s="123"/>
    </row>
    <row r="276" spans="1:15">
      <c r="A276" s="18">
        <f t="shared" si="32"/>
        <v>262</v>
      </c>
      <c r="B276" s="19" t="s">
        <v>18</v>
      </c>
      <c r="C276" s="19">
        <v>20</v>
      </c>
      <c r="D276" s="19" t="s">
        <v>47</v>
      </c>
      <c r="E276" s="20">
        <v>20.05</v>
      </c>
      <c r="F276" s="20">
        <v>10</v>
      </c>
      <c r="G276" s="15">
        <f t="shared" si="27"/>
        <v>0.08</v>
      </c>
      <c r="H276" s="20"/>
      <c r="I276" s="20"/>
      <c r="J276" s="15">
        <f t="shared" si="28"/>
        <v>19.970000000000002</v>
      </c>
      <c r="K276" s="15">
        <f t="shared" si="29"/>
        <v>10</v>
      </c>
      <c r="L276" s="16">
        <f t="shared" si="30"/>
        <v>-30</v>
      </c>
      <c r="M276" s="17">
        <f t="shared" si="31"/>
        <v>-3</v>
      </c>
      <c r="N276" s="122" t="s">
        <v>50</v>
      </c>
      <c r="O276" s="123"/>
    </row>
    <row r="277" spans="1:15">
      <c r="A277" s="18">
        <f t="shared" si="32"/>
        <v>263</v>
      </c>
      <c r="B277" s="19" t="s">
        <v>18</v>
      </c>
      <c r="C277" s="19">
        <v>20</v>
      </c>
      <c r="D277" s="19" t="s">
        <v>45</v>
      </c>
      <c r="E277" s="20">
        <v>20.14</v>
      </c>
      <c r="F277" s="20">
        <v>10</v>
      </c>
      <c r="G277" s="15">
        <f t="shared" si="27"/>
        <v>0.08</v>
      </c>
      <c r="H277" s="20"/>
      <c r="I277" s="20"/>
      <c r="J277" s="15">
        <f t="shared" si="28"/>
        <v>20.060000000000002</v>
      </c>
      <c r="K277" s="15">
        <f t="shared" si="29"/>
        <v>10</v>
      </c>
      <c r="L277" s="16">
        <f t="shared" si="30"/>
        <v>60</v>
      </c>
      <c r="M277" s="17">
        <f t="shared" si="31"/>
        <v>6</v>
      </c>
      <c r="N277" s="122" t="s">
        <v>50</v>
      </c>
      <c r="O277" s="123"/>
    </row>
    <row r="278" spans="1:15">
      <c r="A278" s="18">
        <f t="shared" si="32"/>
        <v>264</v>
      </c>
      <c r="B278" s="19" t="s">
        <v>18</v>
      </c>
      <c r="C278" s="19">
        <v>20</v>
      </c>
      <c r="D278" s="19" t="s">
        <v>42</v>
      </c>
      <c r="E278" s="20">
        <v>20.05</v>
      </c>
      <c r="F278" s="20">
        <v>10</v>
      </c>
      <c r="G278" s="15">
        <f t="shared" si="27"/>
        <v>0.08</v>
      </c>
      <c r="H278" s="20"/>
      <c r="I278" s="20"/>
      <c r="J278" s="15">
        <f t="shared" si="28"/>
        <v>19.970000000000002</v>
      </c>
      <c r="K278" s="15">
        <f t="shared" si="29"/>
        <v>10</v>
      </c>
      <c r="L278" s="16">
        <f t="shared" si="30"/>
        <v>-30</v>
      </c>
      <c r="M278" s="17">
        <f t="shared" si="31"/>
        <v>-3</v>
      </c>
      <c r="N278" s="122" t="s">
        <v>50</v>
      </c>
      <c r="O278" s="123"/>
    </row>
    <row r="279" spans="1:15">
      <c r="A279" s="18">
        <f t="shared" si="32"/>
        <v>265</v>
      </c>
      <c r="B279" s="19" t="s">
        <v>18</v>
      </c>
      <c r="C279" s="19">
        <v>20</v>
      </c>
      <c r="D279" s="19" t="s">
        <v>48</v>
      </c>
      <c r="E279" s="20">
        <v>20.04</v>
      </c>
      <c r="F279" s="20">
        <v>10</v>
      </c>
      <c r="G279" s="15">
        <f t="shared" si="27"/>
        <v>0.08</v>
      </c>
      <c r="H279" s="20"/>
      <c r="I279" s="20"/>
      <c r="J279" s="15">
        <f t="shared" si="28"/>
        <v>19.96</v>
      </c>
      <c r="K279" s="15">
        <f t="shared" si="29"/>
        <v>10</v>
      </c>
      <c r="L279" s="16">
        <f t="shared" si="30"/>
        <v>-40</v>
      </c>
      <c r="M279" s="17">
        <f t="shared" si="31"/>
        <v>-4</v>
      </c>
      <c r="N279" s="122" t="s">
        <v>50</v>
      </c>
      <c r="O279" s="123"/>
    </row>
    <row r="280" spans="1:15">
      <c r="A280" s="18">
        <f t="shared" si="32"/>
        <v>266</v>
      </c>
      <c r="B280" s="19" t="s">
        <v>18</v>
      </c>
      <c r="C280" s="19">
        <v>20</v>
      </c>
      <c r="D280" s="19" t="s">
        <v>47</v>
      </c>
      <c r="E280" s="20">
        <v>20.07</v>
      </c>
      <c r="F280" s="20">
        <v>10</v>
      </c>
      <c r="G280" s="15">
        <f t="shared" si="27"/>
        <v>0.08</v>
      </c>
      <c r="H280" s="20"/>
      <c r="I280" s="20"/>
      <c r="J280" s="15">
        <f t="shared" si="28"/>
        <v>19.990000000000002</v>
      </c>
      <c r="K280" s="15">
        <f t="shared" si="29"/>
        <v>10</v>
      </c>
      <c r="L280" s="16">
        <f t="shared" si="30"/>
        <v>-10</v>
      </c>
      <c r="M280" s="17">
        <f t="shared" si="31"/>
        <v>-1</v>
      </c>
      <c r="N280" s="122" t="s">
        <v>50</v>
      </c>
      <c r="O280" s="123"/>
    </row>
    <row r="281" spans="1:15">
      <c r="A281" s="18">
        <f t="shared" si="32"/>
        <v>267</v>
      </c>
      <c r="B281" s="19" t="s">
        <v>18</v>
      </c>
      <c r="C281" s="19">
        <v>20</v>
      </c>
      <c r="D281" s="19" t="s">
        <v>45</v>
      </c>
      <c r="E281" s="20">
        <v>20.059999999999999</v>
      </c>
      <c r="F281" s="20">
        <v>10</v>
      </c>
      <c r="G281" s="15">
        <f t="shared" si="27"/>
        <v>0.08</v>
      </c>
      <c r="H281" s="20"/>
      <c r="I281" s="20"/>
      <c r="J281" s="15">
        <f t="shared" si="28"/>
        <v>19.98</v>
      </c>
      <c r="K281" s="15">
        <f t="shared" si="29"/>
        <v>10</v>
      </c>
      <c r="L281" s="16">
        <f t="shared" si="30"/>
        <v>-20</v>
      </c>
      <c r="M281" s="17">
        <f t="shared" si="31"/>
        <v>-2</v>
      </c>
      <c r="N281" s="122" t="s">
        <v>50</v>
      </c>
      <c r="O281" s="123"/>
    </row>
    <row r="282" spans="1:15">
      <c r="A282" s="18">
        <f t="shared" si="32"/>
        <v>268</v>
      </c>
      <c r="B282" s="19" t="s">
        <v>18</v>
      </c>
      <c r="C282" s="19">
        <v>20</v>
      </c>
      <c r="D282" s="19" t="s">
        <v>48</v>
      </c>
      <c r="E282" s="20">
        <v>20.13</v>
      </c>
      <c r="F282" s="20">
        <v>10</v>
      </c>
      <c r="G282" s="15">
        <f t="shared" si="27"/>
        <v>0.08</v>
      </c>
      <c r="H282" s="20"/>
      <c r="I282" s="20"/>
      <c r="J282" s="15">
        <f t="shared" si="28"/>
        <v>20.05</v>
      </c>
      <c r="K282" s="15">
        <f t="shared" si="29"/>
        <v>10</v>
      </c>
      <c r="L282" s="16">
        <f t="shared" si="30"/>
        <v>50</v>
      </c>
      <c r="M282" s="17">
        <f t="shared" si="31"/>
        <v>5</v>
      </c>
      <c r="N282" s="122" t="s">
        <v>50</v>
      </c>
      <c r="O282" s="123"/>
    </row>
    <row r="283" spans="1:15">
      <c r="A283" s="18">
        <f t="shared" si="32"/>
        <v>269</v>
      </c>
      <c r="B283" s="19" t="s">
        <v>18</v>
      </c>
      <c r="C283" s="19">
        <v>20</v>
      </c>
      <c r="D283" s="19" t="s">
        <v>42</v>
      </c>
      <c r="E283" s="20">
        <v>20.05</v>
      </c>
      <c r="F283" s="20">
        <v>10</v>
      </c>
      <c r="G283" s="15">
        <f t="shared" si="27"/>
        <v>0.08</v>
      </c>
      <c r="H283" s="20"/>
      <c r="I283" s="20"/>
      <c r="J283" s="15">
        <f t="shared" si="28"/>
        <v>19.970000000000002</v>
      </c>
      <c r="K283" s="15">
        <f t="shared" si="29"/>
        <v>10</v>
      </c>
      <c r="L283" s="16">
        <f t="shared" si="30"/>
        <v>-30</v>
      </c>
      <c r="M283" s="17">
        <f t="shared" si="31"/>
        <v>-3</v>
      </c>
      <c r="N283" s="122" t="s">
        <v>50</v>
      </c>
      <c r="O283" s="123"/>
    </row>
    <row r="284" spans="1:15">
      <c r="A284" s="18">
        <f t="shared" si="32"/>
        <v>270</v>
      </c>
      <c r="B284" s="19" t="s">
        <v>18</v>
      </c>
      <c r="C284" s="19">
        <v>20</v>
      </c>
      <c r="D284" s="19" t="s">
        <v>45</v>
      </c>
      <c r="E284" s="20">
        <v>20.079999999999998</v>
      </c>
      <c r="F284" s="20">
        <v>10</v>
      </c>
      <c r="G284" s="15">
        <f t="shared" si="27"/>
        <v>0.08</v>
      </c>
      <c r="H284" s="20"/>
      <c r="I284" s="20"/>
      <c r="J284" s="15">
        <f t="shared" si="28"/>
        <v>20</v>
      </c>
      <c r="K284" s="15">
        <f t="shared" si="29"/>
        <v>10</v>
      </c>
      <c r="L284" s="16">
        <f t="shared" si="30"/>
        <v>0</v>
      </c>
      <c r="M284" s="17">
        <f t="shared" si="31"/>
        <v>0</v>
      </c>
      <c r="N284" s="122" t="s">
        <v>50</v>
      </c>
      <c r="O284" s="123"/>
    </row>
    <row r="285" spans="1:15">
      <c r="A285" s="18">
        <f t="shared" si="32"/>
        <v>271</v>
      </c>
      <c r="B285" s="19" t="s">
        <v>18</v>
      </c>
      <c r="C285" s="19">
        <v>20</v>
      </c>
      <c r="D285" s="19" t="s">
        <v>48</v>
      </c>
      <c r="E285" s="20">
        <v>20.11</v>
      </c>
      <c r="F285" s="20">
        <v>10</v>
      </c>
      <c r="G285" s="15">
        <f t="shared" si="27"/>
        <v>0.08</v>
      </c>
      <c r="H285" s="20"/>
      <c r="I285" s="20"/>
      <c r="J285" s="15">
        <f t="shared" si="28"/>
        <v>20.03</v>
      </c>
      <c r="K285" s="15">
        <f t="shared" si="29"/>
        <v>10</v>
      </c>
      <c r="L285" s="16">
        <f t="shared" si="30"/>
        <v>30</v>
      </c>
      <c r="M285" s="17">
        <f t="shared" si="31"/>
        <v>3</v>
      </c>
      <c r="N285" s="122" t="s">
        <v>50</v>
      </c>
      <c r="O285" s="123"/>
    </row>
    <row r="286" spans="1:15">
      <c r="A286" s="18">
        <f t="shared" si="32"/>
        <v>272</v>
      </c>
      <c r="B286" s="19" t="s">
        <v>18</v>
      </c>
      <c r="C286" s="19">
        <v>20</v>
      </c>
      <c r="D286" s="19" t="s">
        <v>47</v>
      </c>
      <c r="E286" s="20">
        <v>20.010000000000002</v>
      </c>
      <c r="F286" s="20">
        <v>10</v>
      </c>
      <c r="G286" s="15">
        <f t="shared" si="27"/>
        <v>0.08</v>
      </c>
      <c r="H286" s="20"/>
      <c r="I286" s="20"/>
      <c r="J286" s="15">
        <f t="shared" si="28"/>
        <v>19.930000000000003</v>
      </c>
      <c r="K286" s="15">
        <f t="shared" si="29"/>
        <v>10</v>
      </c>
      <c r="L286" s="16">
        <f t="shared" si="30"/>
        <v>-70</v>
      </c>
      <c r="M286" s="17">
        <f t="shared" si="31"/>
        <v>-7</v>
      </c>
      <c r="N286" s="122" t="s">
        <v>50</v>
      </c>
      <c r="O286" s="123"/>
    </row>
    <row r="287" spans="1:15">
      <c r="A287" s="18">
        <f t="shared" si="32"/>
        <v>273</v>
      </c>
      <c r="B287" s="19" t="s">
        <v>18</v>
      </c>
      <c r="C287" s="19">
        <v>20</v>
      </c>
      <c r="D287" s="19" t="s">
        <v>45</v>
      </c>
      <c r="E287" s="20">
        <v>20.13</v>
      </c>
      <c r="F287" s="20">
        <v>10</v>
      </c>
      <c r="G287" s="15">
        <f t="shared" si="27"/>
        <v>0.08</v>
      </c>
      <c r="H287" s="20"/>
      <c r="I287" s="20"/>
      <c r="J287" s="15">
        <f t="shared" si="28"/>
        <v>20.05</v>
      </c>
      <c r="K287" s="15">
        <f t="shared" si="29"/>
        <v>10</v>
      </c>
      <c r="L287" s="16">
        <f t="shared" si="30"/>
        <v>50</v>
      </c>
      <c r="M287" s="17">
        <f t="shared" si="31"/>
        <v>5</v>
      </c>
      <c r="N287" s="122" t="s">
        <v>50</v>
      </c>
      <c r="O287" s="123"/>
    </row>
    <row r="288" spans="1:15">
      <c r="A288" s="18">
        <f t="shared" si="32"/>
        <v>274</v>
      </c>
      <c r="B288" s="19" t="s">
        <v>18</v>
      </c>
      <c r="C288" s="19">
        <v>20</v>
      </c>
      <c r="D288" s="19" t="s">
        <v>42</v>
      </c>
      <c r="E288" s="20">
        <v>20.04</v>
      </c>
      <c r="F288" s="20">
        <v>10</v>
      </c>
      <c r="G288" s="15">
        <f t="shared" si="27"/>
        <v>0.08</v>
      </c>
      <c r="H288" s="20"/>
      <c r="I288" s="20"/>
      <c r="J288" s="15">
        <f t="shared" si="28"/>
        <v>19.96</v>
      </c>
      <c r="K288" s="15">
        <f t="shared" si="29"/>
        <v>10</v>
      </c>
      <c r="L288" s="16">
        <f t="shared" si="30"/>
        <v>-40</v>
      </c>
      <c r="M288" s="17">
        <f t="shared" si="31"/>
        <v>-4</v>
      </c>
      <c r="N288" s="122" t="s">
        <v>50</v>
      </c>
      <c r="O288" s="123"/>
    </row>
    <row r="289" spans="1:15">
      <c r="A289" s="18">
        <f t="shared" si="32"/>
        <v>275</v>
      </c>
      <c r="B289" s="19" t="s">
        <v>18</v>
      </c>
      <c r="C289" s="19">
        <v>20</v>
      </c>
      <c r="D289" s="19" t="s">
        <v>48</v>
      </c>
      <c r="E289" s="20">
        <v>20.079999999999998</v>
      </c>
      <c r="F289" s="20">
        <v>10</v>
      </c>
      <c r="G289" s="15">
        <f t="shared" si="27"/>
        <v>0.08</v>
      </c>
      <c r="H289" s="20"/>
      <c r="I289" s="20"/>
      <c r="J289" s="15">
        <f t="shared" si="28"/>
        <v>20</v>
      </c>
      <c r="K289" s="15">
        <f t="shared" si="29"/>
        <v>10</v>
      </c>
      <c r="L289" s="16">
        <f t="shared" si="30"/>
        <v>0</v>
      </c>
      <c r="M289" s="17">
        <f t="shared" si="31"/>
        <v>0</v>
      </c>
      <c r="N289" s="122" t="s">
        <v>50</v>
      </c>
      <c r="O289" s="123"/>
    </row>
    <row r="290" spans="1:15">
      <c r="A290" s="18">
        <f t="shared" si="32"/>
        <v>276</v>
      </c>
      <c r="B290" s="19" t="s">
        <v>18</v>
      </c>
      <c r="C290" s="19">
        <v>20</v>
      </c>
      <c r="D290" s="19" t="s">
        <v>47</v>
      </c>
      <c r="E290" s="20">
        <v>20.07</v>
      </c>
      <c r="F290" s="20">
        <v>10</v>
      </c>
      <c r="G290" s="15">
        <f t="shared" si="27"/>
        <v>0.08</v>
      </c>
      <c r="H290" s="20"/>
      <c r="I290" s="20"/>
      <c r="J290" s="15">
        <f t="shared" si="28"/>
        <v>19.990000000000002</v>
      </c>
      <c r="K290" s="15">
        <f t="shared" si="29"/>
        <v>10</v>
      </c>
      <c r="L290" s="16">
        <f t="shared" si="30"/>
        <v>-10</v>
      </c>
      <c r="M290" s="17">
        <f t="shared" si="31"/>
        <v>-1</v>
      </c>
      <c r="N290" s="122" t="s">
        <v>50</v>
      </c>
      <c r="O290" s="123"/>
    </row>
    <row r="291" spans="1:15">
      <c r="A291" s="18">
        <f t="shared" si="32"/>
        <v>277</v>
      </c>
      <c r="B291" s="19" t="s">
        <v>18</v>
      </c>
      <c r="C291" s="19">
        <v>20</v>
      </c>
      <c r="D291" s="19" t="s">
        <v>45</v>
      </c>
      <c r="E291" s="20">
        <v>20.11</v>
      </c>
      <c r="F291" s="20">
        <v>10</v>
      </c>
      <c r="G291" s="15">
        <f t="shared" si="27"/>
        <v>0.08</v>
      </c>
      <c r="H291" s="20"/>
      <c r="I291" s="20"/>
      <c r="J291" s="15">
        <f t="shared" si="28"/>
        <v>20.03</v>
      </c>
      <c r="K291" s="15">
        <f t="shared" si="29"/>
        <v>10</v>
      </c>
      <c r="L291" s="16">
        <f t="shared" si="30"/>
        <v>30</v>
      </c>
      <c r="M291" s="17">
        <f t="shared" si="31"/>
        <v>3</v>
      </c>
      <c r="N291" s="122" t="s">
        <v>50</v>
      </c>
      <c r="O291" s="123"/>
    </row>
    <row r="292" spans="1:15">
      <c r="A292" s="18">
        <f t="shared" si="32"/>
        <v>278</v>
      </c>
      <c r="B292" s="19" t="s">
        <v>18</v>
      </c>
      <c r="C292" s="19">
        <v>20</v>
      </c>
      <c r="D292" s="19" t="s">
        <v>48</v>
      </c>
      <c r="E292" s="20">
        <v>20.03</v>
      </c>
      <c r="F292" s="20">
        <v>10</v>
      </c>
      <c r="G292" s="15">
        <f t="shared" si="27"/>
        <v>0.08</v>
      </c>
      <c r="H292" s="20"/>
      <c r="I292" s="20"/>
      <c r="J292" s="15">
        <f t="shared" si="28"/>
        <v>19.950000000000003</v>
      </c>
      <c r="K292" s="15">
        <f t="shared" si="29"/>
        <v>10</v>
      </c>
      <c r="L292" s="16">
        <f t="shared" si="30"/>
        <v>-50</v>
      </c>
      <c r="M292" s="17">
        <f t="shared" si="31"/>
        <v>-5</v>
      </c>
      <c r="N292" s="122" t="s">
        <v>50</v>
      </c>
      <c r="O292" s="123"/>
    </row>
    <row r="293" spans="1:15">
      <c r="A293" s="18">
        <f t="shared" si="32"/>
        <v>279</v>
      </c>
      <c r="B293" s="19" t="s">
        <v>18</v>
      </c>
      <c r="C293" s="19">
        <v>20</v>
      </c>
      <c r="D293" s="19" t="s">
        <v>42</v>
      </c>
      <c r="E293" s="20">
        <v>20.07</v>
      </c>
      <c r="F293" s="20">
        <v>10</v>
      </c>
      <c r="G293" s="15">
        <f t="shared" si="27"/>
        <v>0.08</v>
      </c>
      <c r="H293" s="20"/>
      <c r="I293" s="20"/>
      <c r="J293" s="15">
        <f t="shared" si="28"/>
        <v>19.990000000000002</v>
      </c>
      <c r="K293" s="15">
        <f t="shared" si="29"/>
        <v>10</v>
      </c>
      <c r="L293" s="16">
        <f t="shared" si="30"/>
        <v>-10</v>
      </c>
      <c r="M293" s="17">
        <f t="shared" si="31"/>
        <v>-1</v>
      </c>
      <c r="N293" s="122" t="s">
        <v>50</v>
      </c>
      <c r="O293" s="123"/>
    </row>
    <row r="294" spans="1:15">
      <c r="A294" s="18">
        <f t="shared" si="32"/>
        <v>280</v>
      </c>
      <c r="B294" s="19" t="s">
        <v>12</v>
      </c>
      <c r="C294" s="19">
        <v>21</v>
      </c>
      <c r="D294" s="19" t="s">
        <v>45</v>
      </c>
      <c r="E294" s="20">
        <v>20.16</v>
      </c>
      <c r="F294" s="20">
        <v>10</v>
      </c>
      <c r="G294" s="15">
        <f t="shared" si="27"/>
        <v>0.08</v>
      </c>
      <c r="H294" s="20"/>
      <c r="I294" s="20"/>
      <c r="J294" s="15">
        <f t="shared" si="28"/>
        <v>20.080000000000002</v>
      </c>
      <c r="K294" s="15">
        <f t="shared" si="29"/>
        <v>10</v>
      </c>
      <c r="L294" s="16">
        <f t="shared" si="30"/>
        <v>80</v>
      </c>
      <c r="M294" s="17">
        <f t="shared" si="31"/>
        <v>8</v>
      </c>
      <c r="N294" s="122" t="s">
        <v>50</v>
      </c>
      <c r="O294" s="123"/>
    </row>
    <row r="295" spans="1:15">
      <c r="A295" s="18">
        <f t="shared" si="32"/>
        <v>281</v>
      </c>
      <c r="B295" s="19" t="s">
        <v>12</v>
      </c>
      <c r="C295" s="19">
        <v>21</v>
      </c>
      <c r="D295" s="19" t="s">
        <v>44</v>
      </c>
      <c r="E295" s="20">
        <v>20.079999999999998</v>
      </c>
      <c r="F295" s="20">
        <v>10</v>
      </c>
      <c r="G295" s="15">
        <f t="shared" si="27"/>
        <v>0.08</v>
      </c>
      <c r="H295" s="20"/>
      <c r="I295" s="20"/>
      <c r="J295" s="15">
        <f t="shared" si="28"/>
        <v>20</v>
      </c>
      <c r="K295" s="15">
        <f t="shared" si="29"/>
        <v>10</v>
      </c>
      <c r="L295" s="16">
        <f t="shared" si="30"/>
        <v>0</v>
      </c>
      <c r="M295" s="17">
        <f t="shared" si="31"/>
        <v>0</v>
      </c>
      <c r="N295" s="122" t="s">
        <v>50</v>
      </c>
      <c r="O295" s="123"/>
    </row>
    <row r="296" spans="1:15">
      <c r="A296" s="18">
        <f t="shared" si="32"/>
        <v>282</v>
      </c>
      <c r="B296" s="19" t="s">
        <v>12</v>
      </c>
      <c r="C296" s="19">
        <v>21</v>
      </c>
      <c r="D296" s="19" t="s">
        <v>47</v>
      </c>
      <c r="E296" s="20">
        <v>20.13</v>
      </c>
      <c r="F296" s="20">
        <v>10</v>
      </c>
      <c r="G296" s="15">
        <f t="shared" si="27"/>
        <v>0.08</v>
      </c>
      <c r="H296" s="20"/>
      <c r="I296" s="20"/>
      <c r="J296" s="15">
        <f t="shared" si="28"/>
        <v>20.05</v>
      </c>
      <c r="K296" s="15">
        <f t="shared" si="29"/>
        <v>10</v>
      </c>
      <c r="L296" s="16">
        <f t="shared" si="30"/>
        <v>50</v>
      </c>
      <c r="M296" s="17">
        <f t="shared" si="31"/>
        <v>5</v>
      </c>
      <c r="N296" s="122" t="s">
        <v>50</v>
      </c>
      <c r="O296" s="123"/>
    </row>
    <row r="297" spans="1:15">
      <c r="A297" s="18">
        <f t="shared" si="32"/>
        <v>283</v>
      </c>
      <c r="B297" s="19" t="s">
        <v>12</v>
      </c>
      <c r="C297" s="19">
        <v>21</v>
      </c>
      <c r="D297" s="19" t="s">
        <v>42</v>
      </c>
      <c r="E297" s="20">
        <v>20.16</v>
      </c>
      <c r="F297" s="20">
        <v>10</v>
      </c>
      <c r="G297" s="15">
        <f t="shared" si="27"/>
        <v>0.08</v>
      </c>
      <c r="H297" s="20"/>
      <c r="I297" s="20"/>
      <c r="J297" s="15">
        <f t="shared" si="28"/>
        <v>20.080000000000002</v>
      </c>
      <c r="K297" s="15">
        <f t="shared" si="29"/>
        <v>10</v>
      </c>
      <c r="L297" s="16">
        <f t="shared" si="30"/>
        <v>80</v>
      </c>
      <c r="M297" s="17">
        <f t="shared" si="31"/>
        <v>8</v>
      </c>
      <c r="N297" s="122" t="s">
        <v>50</v>
      </c>
      <c r="O297" s="123"/>
    </row>
    <row r="298" spans="1:15">
      <c r="A298" s="18">
        <f t="shared" si="32"/>
        <v>284</v>
      </c>
      <c r="B298" s="19" t="s">
        <v>12</v>
      </c>
      <c r="C298" s="19">
        <v>21</v>
      </c>
      <c r="D298" s="19" t="s">
        <v>48</v>
      </c>
      <c r="E298" s="20">
        <v>20.170000000000002</v>
      </c>
      <c r="F298" s="20">
        <v>10</v>
      </c>
      <c r="G298" s="15">
        <f t="shared" si="27"/>
        <v>0.08</v>
      </c>
      <c r="H298" s="20"/>
      <c r="I298" s="20"/>
      <c r="J298" s="15">
        <f t="shared" si="28"/>
        <v>20.090000000000003</v>
      </c>
      <c r="K298" s="15">
        <f t="shared" si="29"/>
        <v>10</v>
      </c>
      <c r="L298" s="16">
        <f t="shared" si="30"/>
        <v>90</v>
      </c>
      <c r="M298" s="17">
        <f t="shared" si="31"/>
        <v>9</v>
      </c>
      <c r="N298" s="122" t="s">
        <v>50</v>
      </c>
      <c r="O298" s="123"/>
    </row>
    <row r="299" spans="1:15">
      <c r="A299" s="18">
        <f t="shared" si="32"/>
        <v>285</v>
      </c>
      <c r="B299" s="19" t="s">
        <v>12</v>
      </c>
      <c r="C299" s="19">
        <v>21</v>
      </c>
      <c r="D299" s="19" t="s">
        <v>45</v>
      </c>
      <c r="E299" s="20">
        <v>20.14</v>
      </c>
      <c r="F299" s="20">
        <v>10</v>
      </c>
      <c r="G299" s="15">
        <f t="shared" si="27"/>
        <v>0.08</v>
      </c>
      <c r="H299" s="20"/>
      <c r="I299" s="20"/>
      <c r="J299" s="15">
        <f t="shared" si="28"/>
        <v>20.060000000000002</v>
      </c>
      <c r="K299" s="15">
        <f t="shared" si="29"/>
        <v>10</v>
      </c>
      <c r="L299" s="16">
        <f t="shared" si="30"/>
        <v>60</v>
      </c>
      <c r="M299" s="17">
        <f t="shared" si="31"/>
        <v>6</v>
      </c>
      <c r="N299" s="122" t="s">
        <v>50</v>
      </c>
      <c r="O299" s="123"/>
    </row>
    <row r="300" spans="1:15">
      <c r="A300" s="18">
        <f t="shared" si="32"/>
        <v>286</v>
      </c>
      <c r="B300" s="19" t="s">
        <v>12</v>
      </c>
      <c r="C300" s="19">
        <v>21</v>
      </c>
      <c r="D300" s="19" t="s">
        <v>44</v>
      </c>
      <c r="E300" s="20">
        <v>19.920000000000002</v>
      </c>
      <c r="F300" s="20">
        <v>10</v>
      </c>
      <c r="G300" s="15">
        <f t="shared" si="27"/>
        <v>0.08</v>
      </c>
      <c r="H300" s="20"/>
      <c r="I300" s="20"/>
      <c r="J300" s="15">
        <f t="shared" si="28"/>
        <v>19.840000000000003</v>
      </c>
      <c r="K300" s="15">
        <f t="shared" si="29"/>
        <v>10</v>
      </c>
      <c r="L300" s="16">
        <f t="shared" si="30"/>
        <v>-160</v>
      </c>
      <c r="M300" s="17">
        <f t="shared" si="31"/>
        <v>-16</v>
      </c>
      <c r="N300" s="122" t="s">
        <v>50</v>
      </c>
      <c r="O300" s="123"/>
    </row>
    <row r="301" spans="1:15">
      <c r="A301" s="18">
        <f t="shared" si="32"/>
        <v>287</v>
      </c>
      <c r="B301" s="19" t="s">
        <v>12</v>
      </c>
      <c r="C301" s="19">
        <v>21</v>
      </c>
      <c r="D301" s="19" t="s">
        <v>47</v>
      </c>
      <c r="E301" s="20">
        <v>20.079999999999998</v>
      </c>
      <c r="F301" s="20">
        <v>10</v>
      </c>
      <c r="G301" s="15">
        <f t="shared" si="27"/>
        <v>0.08</v>
      </c>
      <c r="H301" s="20"/>
      <c r="I301" s="20"/>
      <c r="J301" s="15">
        <f t="shared" si="28"/>
        <v>20</v>
      </c>
      <c r="K301" s="15">
        <f t="shared" si="29"/>
        <v>10</v>
      </c>
      <c r="L301" s="16">
        <f t="shared" si="30"/>
        <v>0</v>
      </c>
      <c r="M301" s="17">
        <f t="shared" si="31"/>
        <v>0</v>
      </c>
      <c r="N301" s="122" t="s">
        <v>50</v>
      </c>
      <c r="O301" s="123"/>
    </row>
    <row r="302" spans="1:15">
      <c r="A302" s="18">
        <f t="shared" si="32"/>
        <v>288</v>
      </c>
      <c r="B302" s="19" t="s">
        <v>12</v>
      </c>
      <c r="C302" s="19">
        <v>21</v>
      </c>
      <c r="D302" s="19" t="s">
        <v>42</v>
      </c>
      <c r="E302" s="20">
        <v>20.05</v>
      </c>
      <c r="F302" s="20">
        <v>10</v>
      </c>
      <c r="G302" s="15">
        <f t="shared" si="27"/>
        <v>0.08</v>
      </c>
      <c r="H302" s="20"/>
      <c r="I302" s="20"/>
      <c r="J302" s="15">
        <f t="shared" si="28"/>
        <v>19.970000000000002</v>
      </c>
      <c r="K302" s="15">
        <f t="shared" si="29"/>
        <v>10</v>
      </c>
      <c r="L302" s="16">
        <f t="shared" si="30"/>
        <v>-30</v>
      </c>
      <c r="M302" s="17">
        <f t="shared" si="31"/>
        <v>-3</v>
      </c>
      <c r="N302" s="122" t="s">
        <v>50</v>
      </c>
      <c r="O302" s="123"/>
    </row>
    <row r="303" spans="1:15">
      <c r="A303" s="18">
        <f t="shared" si="32"/>
        <v>289</v>
      </c>
      <c r="B303" s="19" t="s">
        <v>12</v>
      </c>
      <c r="C303" s="19">
        <v>21</v>
      </c>
      <c r="D303" s="19" t="s">
        <v>45</v>
      </c>
      <c r="E303" s="20">
        <v>20.079999999999998</v>
      </c>
      <c r="F303" s="20">
        <v>10</v>
      </c>
      <c r="G303" s="15">
        <f t="shared" si="27"/>
        <v>0.08</v>
      </c>
      <c r="H303" s="20"/>
      <c r="I303" s="20"/>
      <c r="J303" s="15">
        <f t="shared" si="28"/>
        <v>20</v>
      </c>
      <c r="K303" s="15">
        <f t="shared" si="29"/>
        <v>10</v>
      </c>
      <c r="L303" s="16">
        <f t="shared" si="30"/>
        <v>0</v>
      </c>
      <c r="M303" s="17">
        <f t="shared" si="31"/>
        <v>0</v>
      </c>
      <c r="N303" s="122" t="s">
        <v>50</v>
      </c>
      <c r="O303" s="123"/>
    </row>
    <row r="304" spans="1:15">
      <c r="A304" s="18">
        <f t="shared" si="32"/>
        <v>290</v>
      </c>
      <c r="B304" s="19" t="s">
        <v>12</v>
      </c>
      <c r="C304" s="19">
        <v>21</v>
      </c>
      <c r="D304" s="19" t="s">
        <v>44</v>
      </c>
      <c r="E304" s="20">
        <v>20.059999999999999</v>
      </c>
      <c r="F304" s="20">
        <v>10</v>
      </c>
      <c r="G304" s="15">
        <f t="shared" si="27"/>
        <v>0.08</v>
      </c>
      <c r="H304" s="20"/>
      <c r="I304" s="20"/>
      <c r="J304" s="15">
        <f t="shared" si="28"/>
        <v>19.98</v>
      </c>
      <c r="K304" s="15">
        <f t="shared" si="29"/>
        <v>10</v>
      </c>
      <c r="L304" s="16">
        <f t="shared" si="30"/>
        <v>-20</v>
      </c>
      <c r="M304" s="17">
        <f t="shared" si="31"/>
        <v>-2</v>
      </c>
      <c r="N304" s="122" t="s">
        <v>50</v>
      </c>
      <c r="O304" s="123"/>
    </row>
    <row r="305" spans="1:15">
      <c r="A305" s="18">
        <f t="shared" si="32"/>
        <v>291</v>
      </c>
      <c r="B305" s="19" t="s">
        <v>12</v>
      </c>
      <c r="C305" s="19">
        <v>21</v>
      </c>
      <c r="D305" s="19" t="s">
        <v>48</v>
      </c>
      <c r="E305" s="20">
        <v>20.079999999999998</v>
      </c>
      <c r="F305" s="20">
        <v>10</v>
      </c>
      <c r="G305" s="15">
        <f t="shared" si="27"/>
        <v>0.08</v>
      </c>
      <c r="H305" s="20"/>
      <c r="I305" s="20"/>
      <c r="J305" s="15">
        <f t="shared" si="28"/>
        <v>20</v>
      </c>
      <c r="K305" s="15">
        <f t="shared" si="29"/>
        <v>10</v>
      </c>
      <c r="L305" s="16">
        <f t="shared" si="30"/>
        <v>0</v>
      </c>
      <c r="M305" s="17">
        <f t="shared" si="31"/>
        <v>0</v>
      </c>
      <c r="N305" s="122" t="s">
        <v>50</v>
      </c>
      <c r="O305" s="123"/>
    </row>
    <row r="306" spans="1:15">
      <c r="A306" s="18">
        <f t="shared" si="32"/>
        <v>292</v>
      </c>
      <c r="B306" s="19" t="s">
        <v>12</v>
      </c>
      <c r="C306" s="19">
        <v>21</v>
      </c>
      <c r="D306" s="19" t="s">
        <v>41</v>
      </c>
      <c r="E306" s="20">
        <v>24.16</v>
      </c>
      <c r="F306" s="20">
        <v>12</v>
      </c>
      <c r="G306" s="15">
        <f t="shared" si="27"/>
        <v>9.6000000000000002E-2</v>
      </c>
      <c r="H306" s="20"/>
      <c r="I306" s="20"/>
      <c r="J306" s="15">
        <f t="shared" si="28"/>
        <v>24.064</v>
      </c>
      <c r="K306" s="15">
        <f t="shared" si="29"/>
        <v>12</v>
      </c>
      <c r="L306" s="16">
        <f t="shared" si="30"/>
        <v>64</v>
      </c>
      <c r="M306" s="17">
        <f t="shared" si="31"/>
        <v>5.333333333333333</v>
      </c>
      <c r="N306" s="122" t="s">
        <v>50</v>
      </c>
      <c r="O306" s="123"/>
    </row>
    <row r="307" spans="1:15">
      <c r="A307" s="18">
        <f t="shared" si="32"/>
        <v>293</v>
      </c>
      <c r="B307" s="19" t="s">
        <v>12</v>
      </c>
      <c r="C307" s="19">
        <v>21</v>
      </c>
      <c r="D307" s="19" t="s">
        <v>42</v>
      </c>
      <c r="E307" s="20">
        <v>20.170000000000002</v>
      </c>
      <c r="F307" s="20">
        <v>10</v>
      </c>
      <c r="G307" s="15">
        <f t="shared" si="27"/>
        <v>0.08</v>
      </c>
      <c r="H307" s="20"/>
      <c r="I307" s="20"/>
      <c r="J307" s="15">
        <f t="shared" si="28"/>
        <v>20.090000000000003</v>
      </c>
      <c r="K307" s="15">
        <f t="shared" si="29"/>
        <v>10</v>
      </c>
      <c r="L307" s="16">
        <f t="shared" si="30"/>
        <v>90</v>
      </c>
      <c r="M307" s="17">
        <f t="shared" si="31"/>
        <v>9</v>
      </c>
      <c r="N307" s="122" t="s">
        <v>50</v>
      </c>
      <c r="O307" s="123"/>
    </row>
    <row r="308" spans="1:15">
      <c r="A308" s="18">
        <f t="shared" si="32"/>
        <v>294</v>
      </c>
      <c r="B308" s="19" t="s">
        <v>12</v>
      </c>
      <c r="C308" s="19">
        <v>21</v>
      </c>
      <c r="D308" s="19" t="s">
        <v>47</v>
      </c>
      <c r="E308" s="20">
        <v>20.05</v>
      </c>
      <c r="F308" s="20">
        <v>10</v>
      </c>
      <c r="G308" s="15">
        <f t="shared" si="27"/>
        <v>0.08</v>
      </c>
      <c r="H308" s="20"/>
      <c r="I308" s="20"/>
      <c r="J308" s="15">
        <f t="shared" si="28"/>
        <v>19.970000000000002</v>
      </c>
      <c r="K308" s="15">
        <f t="shared" si="29"/>
        <v>10</v>
      </c>
      <c r="L308" s="16">
        <f t="shared" si="30"/>
        <v>-30</v>
      </c>
      <c r="M308" s="17">
        <f t="shared" si="31"/>
        <v>-3</v>
      </c>
      <c r="N308" s="122" t="s">
        <v>50</v>
      </c>
      <c r="O308" s="123"/>
    </row>
    <row r="309" spans="1:15">
      <c r="A309" s="18">
        <f t="shared" si="32"/>
        <v>295</v>
      </c>
      <c r="B309" s="19" t="s">
        <v>12</v>
      </c>
      <c r="C309" s="19">
        <v>21</v>
      </c>
      <c r="D309" s="19" t="s">
        <v>44</v>
      </c>
      <c r="E309" s="20">
        <v>20.079999999999998</v>
      </c>
      <c r="F309" s="20">
        <v>10</v>
      </c>
      <c r="G309" s="15">
        <f t="shared" si="27"/>
        <v>0.08</v>
      </c>
      <c r="H309" s="20"/>
      <c r="I309" s="20"/>
      <c r="J309" s="15">
        <f t="shared" si="28"/>
        <v>20</v>
      </c>
      <c r="K309" s="15">
        <f t="shared" si="29"/>
        <v>10</v>
      </c>
      <c r="L309" s="16">
        <f t="shared" si="30"/>
        <v>0</v>
      </c>
      <c r="M309" s="17">
        <f t="shared" si="31"/>
        <v>0</v>
      </c>
      <c r="N309" s="122" t="s">
        <v>50</v>
      </c>
      <c r="O309" s="123"/>
    </row>
    <row r="310" spans="1:15">
      <c r="A310" s="18">
        <f t="shared" si="32"/>
        <v>296</v>
      </c>
      <c r="B310" s="19" t="s">
        <v>12</v>
      </c>
      <c r="C310" s="19">
        <v>21</v>
      </c>
      <c r="D310" s="19" t="s">
        <v>42</v>
      </c>
      <c r="E310" s="20">
        <v>20.07</v>
      </c>
      <c r="F310" s="20">
        <v>10</v>
      </c>
      <c r="G310" s="15">
        <f t="shared" si="27"/>
        <v>0.08</v>
      </c>
      <c r="H310" s="20"/>
      <c r="I310" s="20"/>
      <c r="J310" s="15">
        <f t="shared" si="28"/>
        <v>19.990000000000002</v>
      </c>
      <c r="K310" s="15">
        <f t="shared" si="29"/>
        <v>10</v>
      </c>
      <c r="L310" s="16">
        <f t="shared" si="30"/>
        <v>-10</v>
      </c>
      <c r="M310" s="17">
        <f t="shared" si="31"/>
        <v>-1</v>
      </c>
      <c r="N310" s="122" t="s">
        <v>50</v>
      </c>
      <c r="O310" s="123"/>
    </row>
    <row r="311" spans="1:15">
      <c r="A311" s="18">
        <f t="shared" si="32"/>
        <v>297</v>
      </c>
      <c r="B311" s="19" t="s">
        <v>12</v>
      </c>
      <c r="C311" s="19">
        <v>21</v>
      </c>
      <c r="D311" s="19" t="s">
        <v>51</v>
      </c>
      <c r="E311" s="20">
        <v>20.02</v>
      </c>
      <c r="F311" s="20">
        <v>10</v>
      </c>
      <c r="G311" s="15">
        <f t="shared" si="27"/>
        <v>0.08</v>
      </c>
      <c r="H311" s="20"/>
      <c r="I311" s="20"/>
      <c r="J311" s="15">
        <f t="shared" si="28"/>
        <v>19.940000000000001</v>
      </c>
      <c r="K311" s="15">
        <f t="shared" si="29"/>
        <v>10</v>
      </c>
      <c r="L311" s="16">
        <f t="shared" si="30"/>
        <v>-60</v>
      </c>
      <c r="M311" s="17">
        <f t="shared" si="31"/>
        <v>-6</v>
      </c>
      <c r="N311" s="122" t="s">
        <v>50</v>
      </c>
      <c r="O311" s="123"/>
    </row>
    <row r="312" spans="1:15">
      <c r="A312" s="18">
        <f t="shared" si="32"/>
        <v>298</v>
      </c>
      <c r="B312" s="19" t="s">
        <v>12</v>
      </c>
      <c r="C312" s="19">
        <v>21</v>
      </c>
      <c r="D312" s="19" t="s">
        <v>48</v>
      </c>
      <c r="E312" s="20">
        <v>20.05</v>
      </c>
      <c r="F312" s="20">
        <v>10</v>
      </c>
      <c r="G312" s="15">
        <f t="shared" si="27"/>
        <v>0.08</v>
      </c>
      <c r="H312" s="20"/>
      <c r="I312" s="20"/>
      <c r="J312" s="15">
        <f t="shared" si="28"/>
        <v>19.970000000000002</v>
      </c>
      <c r="K312" s="15">
        <f t="shared" si="29"/>
        <v>10</v>
      </c>
      <c r="L312" s="16">
        <f t="shared" si="30"/>
        <v>-30</v>
      </c>
      <c r="M312" s="17">
        <f t="shared" si="31"/>
        <v>-3</v>
      </c>
      <c r="N312" s="122" t="s">
        <v>50</v>
      </c>
      <c r="O312" s="123"/>
    </row>
    <row r="313" spans="1:15">
      <c r="A313" s="18">
        <f t="shared" si="32"/>
        <v>299</v>
      </c>
      <c r="B313" s="19" t="s">
        <v>12</v>
      </c>
      <c r="C313" s="19">
        <v>21</v>
      </c>
      <c r="D313" s="19" t="s">
        <v>45</v>
      </c>
      <c r="E313" s="20">
        <v>20.07</v>
      </c>
      <c r="F313" s="20">
        <v>10</v>
      </c>
      <c r="G313" s="15">
        <f t="shared" si="27"/>
        <v>0.08</v>
      </c>
      <c r="H313" s="20"/>
      <c r="I313" s="20"/>
      <c r="J313" s="15">
        <f t="shared" si="28"/>
        <v>19.990000000000002</v>
      </c>
      <c r="K313" s="15">
        <f t="shared" si="29"/>
        <v>10</v>
      </c>
      <c r="L313" s="16">
        <f t="shared" si="30"/>
        <v>-10</v>
      </c>
      <c r="M313" s="17">
        <f t="shared" si="31"/>
        <v>-1</v>
      </c>
      <c r="N313" s="122" t="s">
        <v>50</v>
      </c>
      <c r="O313" s="123"/>
    </row>
    <row r="314" spans="1:15">
      <c r="A314" s="18">
        <f t="shared" si="32"/>
        <v>300</v>
      </c>
      <c r="B314" s="19" t="s">
        <v>12</v>
      </c>
      <c r="C314" s="19">
        <v>21</v>
      </c>
      <c r="D314" s="19" t="s">
        <v>47</v>
      </c>
      <c r="E314" s="20">
        <v>20.079999999999998</v>
      </c>
      <c r="F314" s="20">
        <v>10</v>
      </c>
      <c r="G314" s="15">
        <f t="shared" si="27"/>
        <v>0.08</v>
      </c>
      <c r="H314" s="20"/>
      <c r="I314" s="20"/>
      <c r="J314" s="15">
        <f t="shared" si="28"/>
        <v>20</v>
      </c>
      <c r="K314" s="15">
        <f t="shared" si="29"/>
        <v>10</v>
      </c>
      <c r="L314" s="16">
        <f t="shared" si="30"/>
        <v>0</v>
      </c>
      <c r="M314" s="17">
        <f t="shared" si="31"/>
        <v>0</v>
      </c>
      <c r="N314" s="122" t="s">
        <v>50</v>
      </c>
      <c r="O314" s="123"/>
    </row>
    <row r="315" spans="1:15">
      <c r="A315" s="18">
        <f t="shared" si="32"/>
        <v>301</v>
      </c>
      <c r="B315" s="19" t="s">
        <v>12</v>
      </c>
      <c r="C315" s="19">
        <v>21</v>
      </c>
      <c r="D315" s="19" t="s">
        <v>41</v>
      </c>
      <c r="E315" s="20">
        <v>20.02</v>
      </c>
      <c r="F315" s="20">
        <v>10</v>
      </c>
      <c r="G315" s="15">
        <f t="shared" si="27"/>
        <v>0.08</v>
      </c>
      <c r="H315" s="20"/>
      <c r="I315" s="20"/>
      <c r="J315" s="15">
        <f t="shared" si="28"/>
        <v>19.940000000000001</v>
      </c>
      <c r="K315" s="15">
        <f t="shared" si="29"/>
        <v>10</v>
      </c>
      <c r="L315" s="16">
        <f t="shared" si="30"/>
        <v>-60</v>
      </c>
      <c r="M315" s="17">
        <f t="shared" si="31"/>
        <v>-6</v>
      </c>
      <c r="N315" s="122" t="s">
        <v>50</v>
      </c>
      <c r="O315" s="123"/>
    </row>
    <row r="316" spans="1:15">
      <c r="A316" s="18">
        <f t="shared" si="32"/>
        <v>302</v>
      </c>
      <c r="B316" s="19" t="s">
        <v>12</v>
      </c>
      <c r="C316" s="19">
        <v>21</v>
      </c>
      <c r="D316" s="19" t="s">
        <v>44</v>
      </c>
      <c r="E316" s="20">
        <v>20.02</v>
      </c>
      <c r="F316" s="20">
        <v>10</v>
      </c>
      <c r="G316" s="15">
        <f t="shared" si="27"/>
        <v>0.08</v>
      </c>
      <c r="H316" s="20"/>
      <c r="I316" s="20"/>
      <c r="J316" s="15">
        <f t="shared" si="28"/>
        <v>19.940000000000001</v>
      </c>
      <c r="K316" s="15">
        <f t="shared" si="29"/>
        <v>10</v>
      </c>
      <c r="L316" s="16">
        <f t="shared" si="30"/>
        <v>-60</v>
      </c>
      <c r="M316" s="17">
        <f t="shared" si="31"/>
        <v>-6</v>
      </c>
      <c r="N316" s="122" t="s">
        <v>50</v>
      </c>
      <c r="O316" s="123"/>
    </row>
    <row r="317" spans="1:15">
      <c r="A317" s="18">
        <f t="shared" si="32"/>
        <v>303</v>
      </c>
      <c r="B317" s="19" t="s">
        <v>12</v>
      </c>
      <c r="C317" s="19">
        <v>21</v>
      </c>
      <c r="D317" s="19" t="s">
        <v>51</v>
      </c>
      <c r="E317" s="20">
        <v>20.13</v>
      </c>
      <c r="F317" s="20">
        <v>10</v>
      </c>
      <c r="G317" s="15">
        <f t="shared" si="27"/>
        <v>0.08</v>
      </c>
      <c r="H317" s="20"/>
      <c r="I317" s="20"/>
      <c r="J317" s="15">
        <f t="shared" si="28"/>
        <v>20.05</v>
      </c>
      <c r="K317" s="15">
        <f t="shared" si="29"/>
        <v>10</v>
      </c>
      <c r="L317" s="16">
        <f t="shared" si="30"/>
        <v>50</v>
      </c>
      <c r="M317" s="17">
        <f t="shared" si="31"/>
        <v>5</v>
      </c>
      <c r="N317" s="122" t="s">
        <v>50</v>
      </c>
      <c r="O317" s="123"/>
    </row>
    <row r="318" spans="1:15">
      <c r="A318" s="18">
        <f t="shared" si="32"/>
        <v>304</v>
      </c>
      <c r="B318" s="19" t="s">
        <v>12</v>
      </c>
      <c r="C318" s="19">
        <v>21</v>
      </c>
      <c r="D318" s="19" t="s">
        <v>42</v>
      </c>
      <c r="E318" s="20">
        <v>20.12</v>
      </c>
      <c r="F318" s="20">
        <v>10</v>
      </c>
      <c r="G318" s="15">
        <f t="shared" si="27"/>
        <v>0.08</v>
      </c>
      <c r="H318" s="20"/>
      <c r="I318" s="20"/>
      <c r="J318" s="15">
        <f t="shared" si="28"/>
        <v>20.040000000000003</v>
      </c>
      <c r="K318" s="15">
        <f t="shared" si="29"/>
        <v>10</v>
      </c>
      <c r="L318" s="16">
        <f t="shared" si="30"/>
        <v>40</v>
      </c>
      <c r="M318" s="17">
        <f t="shared" si="31"/>
        <v>4</v>
      </c>
      <c r="N318" s="122" t="s">
        <v>50</v>
      </c>
      <c r="O318" s="123"/>
    </row>
    <row r="319" spans="1:15">
      <c r="A319" s="18">
        <f t="shared" si="32"/>
        <v>305</v>
      </c>
      <c r="B319" s="19" t="s">
        <v>12</v>
      </c>
      <c r="C319" s="19">
        <v>21</v>
      </c>
      <c r="D319" s="19" t="s">
        <v>41</v>
      </c>
      <c r="E319" s="20">
        <v>24.12</v>
      </c>
      <c r="F319" s="20">
        <v>12</v>
      </c>
      <c r="G319" s="15">
        <f t="shared" si="27"/>
        <v>9.6000000000000002E-2</v>
      </c>
      <c r="H319" s="20"/>
      <c r="I319" s="20"/>
      <c r="J319" s="15">
        <f t="shared" si="28"/>
        <v>24.024000000000001</v>
      </c>
      <c r="K319" s="15">
        <f t="shared" si="29"/>
        <v>12</v>
      </c>
      <c r="L319" s="16">
        <f t="shared" si="30"/>
        <v>24</v>
      </c>
      <c r="M319" s="17">
        <f t="shared" si="31"/>
        <v>2</v>
      </c>
      <c r="N319" s="122" t="s">
        <v>50</v>
      </c>
      <c r="O319" s="123"/>
    </row>
    <row r="320" spans="1:15">
      <c r="A320" s="18">
        <f t="shared" si="32"/>
        <v>306</v>
      </c>
      <c r="B320" s="19" t="s">
        <v>12</v>
      </c>
      <c r="C320" s="19">
        <v>21</v>
      </c>
      <c r="D320" s="19" t="s">
        <v>48</v>
      </c>
      <c r="E320" s="20">
        <v>20.16</v>
      </c>
      <c r="F320" s="20">
        <v>10</v>
      </c>
      <c r="G320" s="15">
        <f t="shared" si="27"/>
        <v>0.08</v>
      </c>
      <c r="H320" s="20"/>
      <c r="I320" s="20"/>
      <c r="J320" s="15">
        <f t="shared" si="28"/>
        <v>20.080000000000002</v>
      </c>
      <c r="K320" s="15">
        <f t="shared" si="29"/>
        <v>10</v>
      </c>
      <c r="L320" s="16">
        <f t="shared" si="30"/>
        <v>80</v>
      </c>
      <c r="M320" s="17">
        <f t="shared" si="31"/>
        <v>8</v>
      </c>
      <c r="N320" s="122" t="s">
        <v>50</v>
      </c>
      <c r="O320" s="123"/>
    </row>
    <row r="321" spans="1:15">
      <c r="A321" s="18">
        <f t="shared" si="32"/>
        <v>307</v>
      </c>
      <c r="B321" s="19" t="s">
        <v>12</v>
      </c>
      <c r="C321" s="19">
        <v>21</v>
      </c>
      <c r="D321" s="19" t="s">
        <v>45</v>
      </c>
      <c r="E321" s="20">
        <v>20.11</v>
      </c>
      <c r="F321" s="20">
        <v>10</v>
      </c>
      <c r="G321" s="15">
        <f t="shared" si="27"/>
        <v>0.08</v>
      </c>
      <c r="H321" s="20"/>
      <c r="I321" s="20"/>
      <c r="J321" s="15">
        <f t="shared" si="28"/>
        <v>20.03</v>
      </c>
      <c r="K321" s="15">
        <f t="shared" si="29"/>
        <v>10</v>
      </c>
      <c r="L321" s="16">
        <f t="shared" si="30"/>
        <v>30</v>
      </c>
      <c r="M321" s="17">
        <f t="shared" si="31"/>
        <v>3</v>
      </c>
      <c r="N321" s="122" t="s">
        <v>50</v>
      </c>
      <c r="O321" s="123"/>
    </row>
    <row r="322" spans="1:15">
      <c r="A322" s="18">
        <f t="shared" si="32"/>
        <v>308</v>
      </c>
      <c r="B322" s="19" t="s">
        <v>12</v>
      </c>
      <c r="C322" s="19">
        <v>21</v>
      </c>
      <c r="D322" s="19" t="s">
        <v>47</v>
      </c>
      <c r="E322" s="20">
        <v>20.11</v>
      </c>
      <c r="F322" s="20">
        <v>10</v>
      </c>
      <c r="G322" s="15">
        <f t="shared" ref="G322" si="33">+F322*$E$6/1000</f>
        <v>0.08</v>
      </c>
      <c r="H322" s="20"/>
      <c r="I322" s="20"/>
      <c r="J322" s="15">
        <f t="shared" si="28"/>
        <v>20.03</v>
      </c>
      <c r="K322" s="15">
        <f t="shared" si="29"/>
        <v>10</v>
      </c>
      <c r="L322" s="16">
        <f t="shared" si="30"/>
        <v>30</v>
      </c>
      <c r="M322" s="17">
        <f t="shared" si="31"/>
        <v>3</v>
      </c>
      <c r="N322" s="122" t="s">
        <v>50</v>
      </c>
      <c r="O322" s="123"/>
    </row>
    <row r="323" spans="1:15">
      <c r="A323" s="18">
        <f t="shared" si="32"/>
        <v>309</v>
      </c>
      <c r="B323" s="19" t="s">
        <v>12</v>
      </c>
      <c r="C323" s="19">
        <v>21</v>
      </c>
      <c r="D323" s="19" t="s">
        <v>51</v>
      </c>
      <c r="E323" s="20">
        <v>20.18</v>
      </c>
      <c r="F323" s="20">
        <v>10</v>
      </c>
      <c r="G323" s="15">
        <f t="shared" si="27"/>
        <v>0.08</v>
      </c>
      <c r="H323" s="20"/>
      <c r="I323" s="20"/>
      <c r="J323" s="15">
        <f t="shared" si="28"/>
        <v>20.100000000000001</v>
      </c>
      <c r="K323" s="15">
        <f t="shared" si="29"/>
        <v>10</v>
      </c>
      <c r="L323" s="16">
        <f t="shared" si="30"/>
        <v>100</v>
      </c>
      <c r="M323" s="17">
        <f t="shared" si="31"/>
        <v>10</v>
      </c>
      <c r="N323" s="122" t="s">
        <v>50</v>
      </c>
      <c r="O323" s="123"/>
    </row>
    <row r="324" spans="1:15">
      <c r="A324" s="18">
        <f t="shared" si="32"/>
        <v>310</v>
      </c>
      <c r="B324" s="19" t="s">
        <v>13</v>
      </c>
      <c r="C324" s="19">
        <v>21</v>
      </c>
      <c r="D324" s="19" t="s">
        <v>42</v>
      </c>
      <c r="E324" s="20">
        <v>20.11</v>
      </c>
      <c r="F324" s="20">
        <v>10</v>
      </c>
      <c r="G324" s="15">
        <f t="shared" si="27"/>
        <v>0.08</v>
      </c>
      <c r="H324" s="20"/>
      <c r="I324" s="20"/>
      <c r="J324" s="15">
        <f t="shared" si="28"/>
        <v>20.03</v>
      </c>
      <c r="K324" s="15">
        <f t="shared" si="29"/>
        <v>10</v>
      </c>
      <c r="L324" s="16">
        <f t="shared" si="30"/>
        <v>30</v>
      </c>
      <c r="M324" s="17">
        <f t="shared" si="31"/>
        <v>3</v>
      </c>
      <c r="N324" s="122" t="s">
        <v>50</v>
      </c>
      <c r="O324" s="123"/>
    </row>
    <row r="325" spans="1:15">
      <c r="A325" s="18">
        <f t="shared" si="32"/>
        <v>311</v>
      </c>
      <c r="B325" s="19" t="s">
        <v>13</v>
      </c>
      <c r="C325" s="19">
        <v>21</v>
      </c>
      <c r="D325" s="19" t="s">
        <v>48</v>
      </c>
      <c r="E325" s="20">
        <v>20.04</v>
      </c>
      <c r="F325" s="20">
        <v>10</v>
      </c>
      <c r="G325" s="15">
        <f t="shared" si="27"/>
        <v>0.08</v>
      </c>
      <c r="H325" s="20"/>
      <c r="I325" s="20"/>
      <c r="J325" s="15">
        <f t="shared" si="28"/>
        <v>19.96</v>
      </c>
      <c r="K325" s="15">
        <f t="shared" si="29"/>
        <v>10</v>
      </c>
      <c r="L325" s="16">
        <f t="shared" si="30"/>
        <v>-40</v>
      </c>
      <c r="M325" s="17">
        <f t="shared" si="31"/>
        <v>-4</v>
      </c>
      <c r="N325" s="122" t="s">
        <v>50</v>
      </c>
      <c r="O325" s="123"/>
    </row>
    <row r="326" spans="1:15">
      <c r="A326" s="18">
        <f t="shared" si="32"/>
        <v>312</v>
      </c>
      <c r="B326" s="19" t="s">
        <v>13</v>
      </c>
      <c r="C326" s="19">
        <v>21</v>
      </c>
      <c r="D326" s="19" t="s">
        <v>44</v>
      </c>
      <c r="E326" s="20">
        <v>20.100000000000001</v>
      </c>
      <c r="F326" s="20">
        <v>10</v>
      </c>
      <c r="G326" s="15">
        <f t="shared" si="27"/>
        <v>0.08</v>
      </c>
      <c r="H326" s="20"/>
      <c r="I326" s="20"/>
      <c r="J326" s="15">
        <f t="shared" si="28"/>
        <v>20.020000000000003</v>
      </c>
      <c r="K326" s="15">
        <f t="shared" si="29"/>
        <v>10</v>
      </c>
      <c r="L326" s="16">
        <f t="shared" si="30"/>
        <v>20</v>
      </c>
      <c r="M326" s="17">
        <f t="shared" si="31"/>
        <v>2</v>
      </c>
      <c r="N326" s="122" t="s">
        <v>50</v>
      </c>
      <c r="O326" s="123"/>
    </row>
    <row r="327" spans="1:15">
      <c r="A327" s="18">
        <f t="shared" si="32"/>
        <v>313</v>
      </c>
      <c r="B327" s="19" t="s">
        <v>13</v>
      </c>
      <c r="C327" s="19">
        <v>21</v>
      </c>
      <c r="D327" s="19" t="s">
        <v>47</v>
      </c>
      <c r="E327" s="20">
        <v>20.11</v>
      </c>
      <c r="F327" s="20">
        <v>10</v>
      </c>
      <c r="G327" s="15">
        <f t="shared" si="27"/>
        <v>0.08</v>
      </c>
      <c r="H327" s="20"/>
      <c r="I327" s="20"/>
      <c r="J327" s="15">
        <f t="shared" si="28"/>
        <v>20.03</v>
      </c>
      <c r="K327" s="15">
        <f t="shared" si="29"/>
        <v>10</v>
      </c>
      <c r="L327" s="16">
        <f t="shared" si="30"/>
        <v>30</v>
      </c>
      <c r="M327" s="17">
        <f t="shared" si="31"/>
        <v>3</v>
      </c>
      <c r="N327" s="122" t="s">
        <v>50</v>
      </c>
      <c r="O327" s="123"/>
    </row>
    <row r="328" spans="1:15">
      <c r="A328" s="18">
        <f t="shared" si="32"/>
        <v>314</v>
      </c>
      <c r="B328" s="19" t="s">
        <v>13</v>
      </c>
      <c r="C328" s="19">
        <v>21</v>
      </c>
      <c r="D328" s="19" t="s">
        <v>45</v>
      </c>
      <c r="E328" s="20">
        <v>20.100000000000001</v>
      </c>
      <c r="F328" s="20">
        <v>10</v>
      </c>
      <c r="G328" s="15">
        <f t="shared" si="27"/>
        <v>0.08</v>
      </c>
      <c r="H328" s="20"/>
      <c r="I328" s="20"/>
      <c r="J328" s="15">
        <f t="shared" si="28"/>
        <v>20.020000000000003</v>
      </c>
      <c r="K328" s="15">
        <f t="shared" si="29"/>
        <v>10</v>
      </c>
      <c r="L328" s="16">
        <f t="shared" si="30"/>
        <v>20</v>
      </c>
      <c r="M328" s="17">
        <f t="shared" si="31"/>
        <v>2</v>
      </c>
      <c r="N328" s="122" t="s">
        <v>50</v>
      </c>
      <c r="O328" s="123"/>
    </row>
    <row r="329" spans="1:15">
      <c r="A329" s="18">
        <f t="shared" si="32"/>
        <v>315</v>
      </c>
      <c r="B329" s="19" t="s">
        <v>13</v>
      </c>
      <c r="C329" s="19">
        <v>21</v>
      </c>
      <c r="D329" s="19" t="s">
        <v>42</v>
      </c>
      <c r="E329" s="20">
        <v>20.18</v>
      </c>
      <c r="F329" s="20">
        <v>10</v>
      </c>
      <c r="G329" s="15">
        <f t="shared" si="27"/>
        <v>0.08</v>
      </c>
      <c r="H329" s="20"/>
      <c r="I329" s="20"/>
      <c r="J329" s="15">
        <f t="shared" si="28"/>
        <v>20.100000000000001</v>
      </c>
      <c r="K329" s="15">
        <f t="shared" si="29"/>
        <v>10</v>
      </c>
      <c r="L329" s="16">
        <f t="shared" si="30"/>
        <v>100</v>
      </c>
      <c r="M329" s="17">
        <f t="shared" si="31"/>
        <v>10</v>
      </c>
      <c r="N329" s="122" t="s">
        <v>50</v>
      </c>
      <c r="O329" s="123"/>
    </row>
    <row r="330" spans="1:15">
      <c r="A330" s="18">
        <f t="shared" si="32"/>
        <v>316</v>
      </c>
      <c r="B330" s="19" t="s">
        <v>13</v>
      </c>
      <c r="C330" s="19">
        <v>22</v>
      </c>
      <c r="D330" s="19" t="s">
        <v>48</v>
      </c>
      <c r="E330" s="20">
        <v>19.809999999999999</v>
      </c>
      <c r="F330" s="20">
        <v>10</v>
      </c>
      <c r="G330" s="15">
        <f t="shared" si="27"/>
        <v>0.08</v>
      </c>
      <c r="H330" s="20"/>
      <c r="I330" s="20"/>
      <c r="J330" s="15">
        <f t="shared" si="28"/>
        <v>19.73</v>
      </c>
      <c r="K330" s="15">
        <f t="shared" si="29"/>
        <v>10</v>
      </c>
      <c r="L330" s="16">
        <f t="shared" si="30"/>
        <v>-270</v>
      </c>
      <c r="M330" s="17">
        <f t="shared" si="31"/>
        <v>-27</v>
      </c>
      <c r="N330" s="122" t="s">
        <v>50</v>
      </c>
      <c r="O330" s="123"/>
    </row>
    <row r="331" spans="1:15">
      <c r="A331" s="18">
        <f t="shared" si="32"/>
        <v>317</v>
      </c>
      <c r="B331" s="19" t="s">
        <v>13</v>
      </c>
      <c r="C331" s="19">
        <v>22</v>
      </c>
      <c r="D331" s="19" t="s">
        <v>47</v>
      </c>
      <c r="E331" s="20">
        <v>20.100000000000001</v>
      </c>
      <c r="F331" s="20">
        <v>10</v>
      </c>
      <c r="G331" s="15">
        <f t="shared" si="27"/>
        <v>0.08</v>
      </c>
      <c r="H331" s="20"/>
      <c r="I331" s="20"/>
      <c r="J331" s="15">
        <f t="shared" si="28"/>
        <v>20.020000000000003</v>
      </c>
      <c r="K331" s="15">
        <f t="shared" si="29"/>
        <v>10</v>
      </c>
      <c r="L331" s="16">
        <f t="shared" si="30"/>
        <v>20</v>
      </c>
      <c r="M331" s="17">
        <f t="shared" si="31"/>
        <v>2</v>
      </c>
      <c r="N331" s="122" t="s">
        <v>50</v>
      </c>
      <c r="O331" s="123"/>
    </row>
    <row r="332" spans="1:15">
      <c r="A332" s="18">
        <f t="shared" si="32"/>
        <v>318</v>
      </c>
      <c r="B332" s="19" t="s">
        <v>13</v>
      </c>
      <c r="C332" s="19">
        <v>22</v>
      </c>
      <c r="D332" s="19" t="s">
        <v>42</v>
      </c>
      <c r="E332" s="20">
        <v>20.100000000000001</v>
      </c>
      <c r="F332" s="20">
        <v>10</v>
      </c>
      <c r="G332" s="15">
        <f t="shared" si="27"/>
        <v>0.08</v>
      </c>
      <c r="H332" s="20"/>
      <c r="I332" s="20"/>
      <c r="J332" s="15">
        <f t="shared" si="28"/>
        <v>20.020000000000003</v>
      </c>
      <c r="K332" s="15">
        <f t="shared" si="29"/>
        <v>10</v>
      </c>
      <c r="L332" s="16">
        <f t="shared" si="30"/>
        <v>20</v>
      </c>
      <c r="M332" s="17">
        <f t="shared" si="31"/>
        <v>2</v>
      </c>
      <c r="N332" s="122" t="s">
        <v>50</v>
      </c>
      <c r="O332" s="123"/>
    </row>
    <row r="333" spans="1:15">
      <c r="A333" s="18">
        <f t="shared" si="32"/>
        <v>319</v>
      </c>
      <c r="B333" s="19" t="s">
        <v>13</v>
      </c>
      <c r="C333" s="19">
        <v>22</v>
      </c>
      <c r="D333" s="19" t="s">
        <v>45</v>
      </c>
      <c r="E333" s="20">
        <v>20.12</v>
      </c>
      <c r="F333" s="20">
        <v>10</v>
      </c>
      <c r="G333" s="15">
        <f t="shared" si="27"/>
        <v>0.08</v>
      </c>
      <c r="H333" s="20"/>
      <c r="I333" s="20"/>
      <c r="J333" s="15">
        <f t="shared" si="28"/>
        <v>20.040000000000003</v>
      </c>
      <c r="K333" s="15">
        <f t="shared" si="29"/>
        <v>10</v>
      </c>
      <c r="L333" s="16">
        <f t="shared" si="30"/>
        <v>40</v>
      </c>
      <c r="M333" s="17">
        <f t="shared" si="31"/>
        <v>4</v>
      </c>
      <c r="N333" s="122" t="s">
        <v>50</v>
      </c>
      <c r="O333" s="123"/>
    </row>
    <row r="334" spans="1:15">
      <c r="A334" s="18">
        <f t="shared" si="32"/>
        <v>320</v>
      </c>
      <c r="B334" s="19" t="s">
        <v>13</v>
      </c>
      <c r="C334" s="19">
        <v>22</v>
      </c>
      <c r="D334" s="19" t="s">
        <v>44</v>
      </c>
      <c r="E334" s="20">
        <v>20.100000000000001</v>
      </c>
      <c r="F334" s="20">
        <v>10</v>
      </c>
      <c r="G334" s="15">
        <f t="shared" si="27"/>
        <v>0.08</v>
      </c>
      <c r="H334" s="20"/>
      <c r="I334" s="20"/>
      <c r="J334" s="15">
        <f t="shared" si="28"/>
        <v>20.020000000000003</v>
      </c>
      <c r="K334" s="15">
        <f t="shared" si="29"/>
        <v>10</v>
      </c>
      <c r="L334" s="16">
        <f t="shared" si="30"/>
        <v>20</v>
      </c>
      <c r="M334" s="17">
        <f t="shared" si="31"/>
        <v>2</v>
      </c>
      <c r="N334" s="122" t="s">
        <v>50</v>
      </c>
      <c r="O334" s="123"/>
    </row>
    <row r="335" spans="1:15">
      <c r="A335" s="18">
        <f t="shared" si="32"/>
        <v>321</v>
      </c>
      <c r="B335" s="19" t="s">
        <v>13</v>
      </c>
      <c r="C335" s="19">
        <v>22</v>
      </c>
      <c r="D335" s="19" t="s">
        <v>48</v>
      </c>
      <c r="E335" s="20">
        <v>20.170000000000002</v>
      </c>
      <c r="F335" s="20">
        <v>10</v>
      </c>
      <c r="G335" s="15">
        <f t="shared" ref="G335:G402" si="34">+F335*$E$6/1000</f>
        <v>0.08</v>
      </c>
      <c r="H335" s="20"/>
      <c r="I335" s="20"/>
      <c r="J335" s="15">
        <f t="shared" si="28"/>
        <v>20.090000000000003</v>
      </c>
      <c r="K335" s="15">
        <f t="shared" si="29"/>
        <v>10</v>
      </c>
      <c r="L335" s="16">
        <f t="shared" si="30"/>
        <v>90</v>
      </c>
      <c r="M335" s="17">
        <f t="shared" si="31"/>
        <v>9</v>
      </c>
      <c r="N335" s="122" t="s">
        <v>50</v>
      </c>
      <c r="O335" s="123"/>
    </row>
    <row r="336" spans="1:15">
      <c r="A336" s="18">
        <f t="shared" si="32"/>
        <v>322</v>
      </c>
      <c r="B336" s="19" t="s">
        <v>13</v>
      </c>
      <c r="C336" s="19">
        <v>22</v>
      </c>
      <c r="D336" s="19" t="s">
        <v>47</v>
      </c>
      <c r="E336" s="20">
        <v>20.13</v>
      </c>
      <c r="F336" s="20">
        <v>10</v>
      </c>
      <c r="G336" s="15">
        <f t="shared" si="34"/>
        <v>0.08</v>
      </c>
      <c r="H336" s="20"/>
      <c r="I336" s="20"/>
      <c r="J336" s="15">
        <f t="shared" ref="J336:J399" si="35">+E336-G336-H336</f>
        <v>20.05</v>
      </c>
      <c r="K336" s="15">
        <f t="shared" ref="K336:K399" si="36">+F336-I336</f>
        <v>10</v>
      </c>
      <c r="L336" s="16">
        <f t="shared" ref="L336:L399" si="37">IF(E336*1000-F336*$E$8=0,0,E336*1000-F336*$E$8)</f>
        <v>50</v>
      </c>
      <c r="M336" s="17">
        <f t="shared" ref="M336:M399" si="38">IF(F336=0,"-",L336/F336)</f>
        <v>5</v>
      </c>
      <c r="N336" s="122" t="s">
        <v>50</v>
      </c>
      <c r="O336" s="123"/>
    </row>
    <row r="337" spans="1:15">
      <c r="A337" s="18">
        <f t="shared" ref="A337:A396" si="39">+A336+1</f>
        <v>323</v>
      </c>
      <c r="B337" s="19" t="s">
        <v>13</v>
      </c>
      <c r="C337" s="19">
        <v>22</v>
      </c>
      <c r="D337" s="19" t="s">
        <v>51</v>
      </c>
      <c r="E337" s="20">
        <v>20.27</v>
      </c>
      <c r="F337" s="20">
        <v>10</v>
      </c>
      <c r="G337" s="15">
        <f t="shared" si="34"/>
        <v>0.08</v>
      </c>
      <c r="H337" s="20"/>
      <c r="I337" s="20"/>
      <c r="J337" s="15">
        <f t="shared" si="35"/>
        <v>20.190000000000001</v>
      </c>
      <c r="K337" s="15">
        <f t="shared" si="36"/>
        <v>10</v>
      </c>
      <c r="L337" s="16">
        <f t="shared" si="37"/>
        <v>190</v>
      </c>
      <c r="M337" s="17">
        <f t="shared" si="38"/>
        <v>19</v>
      </c>
      <c r="N337" s="122" t="s">
        <v>50</v>
      </c>
      <c r="O337" s="123"/>
    </row>
    <row r="338" spans="1:15">
      <c r="A338" s="18">
        <f t="shared" si="39"/>
        <v>324</v>
      </c>
      <c r="B338" s="19" t="s">
        <v>13</v>
      </c>
      <c r="C338" s="19">
        <v>22</v>
      </c>
      <c r="D338" s="19" t="s">
        <v>42</v>
      </c>
      <c r="E338" s="20">
        <v>20.239999999999998</v>
      </c>
      <c r="F338" s="20">
        <v>10</v>
      </c>
      <c r="G338" s="15">
        <f t="shared" si="34"/>
        <v>0.08</v>
      </c>
      <c r="H338" s="20"/>
      <c r="I338" s="20"/>
      <c r="J338" s="15">
        <f t="shared" si="35"/>
        <v>20.16</v>
      </c>
      <c r="K338" s="15">
        <f t="shared" si="36"/>
        <v>10</v>
      </c>
      <c r="L338" s="16">
        <f t="shared" si="37"/>
        <v>160</v>
      </c>
      <c r="M338" s="17">
        <f t="shared" si="38"/>
        <v>16</v>
      </c>
      <c r="N338" s="122" t="s">
        <v>50</v>
      </c>
      <c r="O338" s="123"/>
    </row>
    <row r="339" spans="1:15">
      <c r="A339" s="18">
        <f t="shared" si="39"/>
        <v>325</v>
      </c>
      <c r="B339" s="19" t="s">
        <v>13</v>
      </c>
      <c r="C339" s="19">
        <v>22</v>
      </c>
      <c r="D339" s="19" t="s">
        <v>45</v>
      </c>
      <c r="E339" s="20">
        <v>20.21</v>
      </c>
      <c r="F339" s="20">
        <v>10</v>
      </c>
      <c r="G339" s="15">
        <f t="shared" si="34"/>
        <v>0.08</v>
      </c>
      <c r="H339" s="20"/>
      <c r="I339" s="20"/>
      <c r="J339" s="15">
        <f t="shared" si="35"/>
        <v>20.130000000000003</v>
      </c>
      <c r="K339" s="15">
        <f t="shared" si="36"/>
        <v>10</v>
      </c>
      <c r="L339" s="16">
        <f t="shared" si="37"/>
        <v>130</v>
      </c>
      <c r="M339" s="17">
        <f t="shared" si="38"/>
        <v>13</v>
      </c>
      <c r="N339" s="122" t="s">
        <v>50</v>
      </c>
      <c r="O339" s="123"/>
    </row>
    <row r="340" spans="1:15">
      <c r="A340" s="18">
        <f t="shared" si="39"/>
        <v>326</v>
      </c>
      <c r="B340" s="19" t="s">
        <v>13</v>
      </c>
      <c r="C340" s="19">
        <v>22</v>
      </c>
      <c r="D340" s="19" t="s">
        <v>44</v>
      </c>
      <c r="E340" s="20">
        <v>20.13</v>
      </c>
      <c r="F340" s="20">
        <v>10</v>
      </c>
      <c r="G340" s="15">
        <f t="shared" si="34"/>
        <v>0.08</v>
      </c>
      <c r="H340" s="20"/>
      <c r="I340" s="20"/>
      <c r="J340" s="15">
        <f t="shared" si="35"/>
        <v>20.05</v>
      </c>
      <c r="K340" s="15">
        <f t="shared" si="36"/>
        <v>10</v>
      </c>
      <c r="L340" s="16">
        <f t="shared" si="37"/>
        <v>50</v>
      </c>
      <c r="M340" s="17">
        <f t="shared" si="38"/>
        <v>5</v>
      </c>
      <c r="N340" s="122" t="s">
        <v>50</v>
      </c>
      <c r="O340" s="123"/>
    </row>
    <row r="341" spans="1:15">
      <c r="A341" s="18">
        <f t="shared" si="39"/>
        <v>327</v>
      </c>
      <c r="B341" s="19" t="s">
        <v>13</v>
      </c>
      <c r="C341" s="19">
        <v>22</v>
      </c>
      <c r="D341" s="19" t="s">
        <v>48</v>
      </c>
      <c r="E341" s="20">
        <v>20.09</v>
      </c>
      <c r="F341" s="20">
        <v>10</v>
      </c>
      <c r="G341" s="15">
        <f t="shared" si="34"/>
        <v>0.08</v>
      </c>
      <c r="H341" s="20"/>
      <c r="I341" s="20"/>
      <c r="J341" s="15">
        <f t="shared" si="35"/>
        <v>20.010000000000002</v>
      </c>
      <c r="K341" s="15">
        <f t="shared" si="36"/>
        <v>10</v>
      </c>
      <c r="L341" s="16">
        <f t="shared" si="37"/>
        <v>10</v>
      </c>
      <c r="M341" s="17">
        <f t="shared" si="38"/>
        <v>1</v>
      </c>
      <c r="N341" s="122" t="s">
        <v>50</v>
      </c>
      <c r="O341" s="123"/>
    </row>
    <row r="342" spans="1:15">
      <c r="A342" s="18">
        <f t="shared" si="39"/>
        <v>328</v>
      </c>
      <c r="B342" s="19" t="s">
        <v>13</v>
      </c>
      <c r="C342" s="19">
        <v>22</v>
      </c>
      <c r="D342" s="19" t="s">
        <v>51</v>
      </c>
      <c r="E342" s="20">
        <v>20.09</v>
      </c>
      <c r="F342" s="20">
        <v>10</v>
      </c>
      <c r="G342" s="15">
        <f t="shared" si="34"/>
        <v>0.08</v>
      </c>
      <c r="H342" s="20"/>
      <c r="I342" s="20"/>
      <c r="J342" s="15">
        <f t="shared" si="35"/>
        <v>20.010000000000002</v>
      </c>
      <c r="K342" s="15">
        <f t="shared" si="36"/>
        <v>10</v>
      </c>
      <c r="L342" s="16">
        <f t="shared" si="37"/>
        <v>10</v>
      </c>
      <c r="M342" s="17">
        <f t="shared" si="38"/>
        <v>1</v>
      </c>
      <c r="N342" s="122" t="s">
        <v>50</v>
      </c>
      <c r="O342" s="123"/>
    </row>
    <row r="343" spans="1:15">
      <c r="A343" s="18">
        <f t="shared" si="39"/>
        <v>329</v>
      </c>
      <c r="B343" s="19" t="s">
        <v>13</v>
      </c>
      <c r="C343" s="19">
        <v>22</v>
      </c>
      <c r="D343" s="19" t="s">
        <v>42</v>
      </c>
      <c r="E343" s="20">
        <v>20.190000000000001</v>
      </c>
      <c r="F343" s="20">
        <v>10</v>
      </c>
      <c r="G343" s="15">
        <f t="shared" si="34"/>
        <v>0.08</v>
      </c>
      <c r="H343" s="20"/>
      <c r="I343" s="20"/>
      <c r="J343" s="15">
        <f t="shared" si="35"/>
        <v>20.110000000000003</v>
      </c>
      <c r="K343" s="15">
        <f t="shared" si="36"/>
        <v>10</v>
      </c>
      <c r="L343" s="16">
        <f t="shared" si="37"/>
        <v>110</v>
      </c>
      <c r="M343" s="17">
        <f t="shared" si="38"/>
        <v>11</v>
      </c>
      <c r="N343" s="122" t="s">
        <v>50</v>
      </c>
      <c r="O343" s="123"/>
    </row>
    <row r="344" spans="1:15">
      <c r="A344" s="18">
        <f t="shared" si="39"/>
        <v>330</v>
      </c>
      <c r="B344" s="19" t="s">
        <v>13</v>
      </c>
      <c r="C344" s="19">
        <v>22</v>
      </c>
      <c r="D344" s="19" t="s">
        <v>51</v>
      </c>
      <c r="E344" s="20">
        <v>20.309999999999999</v>
      </c>
      <c r="F344" s="20">
        <v>10</v>
      </c>
      <c r="G344" s="15">
        <f t="shared" si="34"/>
        <v>0.08</v>
      </c>
      <c r="H344" s="20"/>
      <c r="I344" s="20"/>
      <c r="J344" s="15">
        <f t="shared" si="35"/>
        <v>20.23</v>
      </c>
      <c r="K344" s="15">
        <f t="shared" si="36"/>
        <v>10</v>
      </c>
      <c r="L344" s="16">
        <f t="shared" si="37"/>
        <v>230</v>
      </c>
      <c r="M344" s="17">
        <f t="shared" si="38"/>
        <v>23</v>
      </c>
      <c r="N344" s="122" t="s">
        <v>50</v>
      </c>
      <c r="O344" s="123"/>
    </row>
    <row r="345" spans="1:15">
      <c r="A345" s="18">
        <f t="shared" si="39"/>
        <v>331</v>
      </c>
      <c r="B345" s="19" t="s">
        <v>13</v>
      </c>
      <c r="C345" s="19">
        <v>22</v>
      </c>
      <c r="D345" s="19" t="s">
        <v>45</v>
      </c>
      <c r="E345" s="20">
        <v>20.079999999999998</v>
      </c>
      <c r="F345" s="20">
        <v>10</v>
      </c>
      <c r="G345" s="15">
        <f t="shared" si="34"/>
        <v>0.08</v>
      </c>
      <c r="H345" s="20"/>
      <c r="I345" s="20"/>
      <c r="J345" s="15">
        <f t="shared" si="35"/>
        <v>20</v>
      </c>
      <c r="K345" s="15">
        <f t="shared" si="36"/>
        <v>10</v>
      </c>
      <c r="L345" s="16">
        <f t="shared" si="37"/>
        <v>0</v>
      </c>
      <c r="M345" s="17">
        <f t="shared" si="38"/>
        <v>0</v>
      </c>
      <c r="N345" s="122" t="s">
        <v>50</v>
      </c>
      <c r="O345" s="123"/>
    </row>
    <row r="346" spans="1:15">
      <c r="A346" s="18">
        <f t="shared" si="39"/>
        <v>332</v>
      </c>
      <c r="B346" s="19" t="s">
        <v>13</v>
      </c>
      <c r="C346" s="19">
        <v>22</v>
      </c>
      <c r="D346" s="19" t="s">
        <v>44</v>
      </c>
      <c r="E346" s="20">
        <v>20.22</v>
      </c>
      <c r="F346" s="20">
        <v>10</v>
      </c>
      <c r="G346" s="15">
        <f t="shared" si="34"/>
        <v>0.08</v>
      </c>
      <c r="H346" s="20"/>
      <c r="I346" s="20"/>
      <c r="J346" s="15">
        <f t="shared" si="35"/>
        <v>20.14</v>
      </c>
      <c r="K346" s="15">
        <f t="shared" si="36"/>
        <v>10</v>
      </c>
      <c r="L346" s="16">
        <f t="shared" si="37"/>
        <v>140</v>
      </c>
      <c r="M346" s="17">
        <f t="shared" si="38"/>
        <v>14</v>
      </c>
      <c r="N346" s="122" t="s">
        <v>50</v>
      </c>
      <c r="O346" s="123"/>
    </row>
    <row r="347" spans="1:15">
      <c r="A347" s="18">
        <f t="shared" si="39"/>
        <v>333</v>
      </c>
      <c r="B347" s="19" t="s">
        <v>13</v>
      </c>
      <c r="C347" s="19">
        <v>22</v>
      </c>
      <c r="D347" s="19" t="s">
        <v>48</v>
      </c>
      <c r="E347" s="20">
        <v>20.09</v>
      </c>
      <c r="F347" s="20">
        <v>10</v>
      </c>
      <c r="G347" s="15">
        <f t="shared" si="34"/>
        <v>0.08</v>
      </c>
      <c r="H347" s="20"/>
      <c r="I347" s="20"/>
      <c r="J347" s="15">
        <f t="shared" si="35"/>
        <v>20.010000000000002</v>
      </c>
      <c r="K347" s="15">
        <f t="shared" si="36"/>
        <v>10</v>
      </c>
      <c r="L347" s="16">
        <f t="shared" si="37"/>
        <v>10</v>
      </c>
      <c r="M347" s="17">
        <f t="shared" si="38"/>
        <v>1</v>
      </c>
      <c r="N347" s="122" t="s">
        <v>50</v>
      </c>
      <c r="O347" s="123"/>
    </row>
    <row r="348" spans="1:15">
      <c r="A348" s="18">
        <f t="shared" si="39"/>
        <v>334</v>
      </c>
      <c r="B348" s="19" t="s">
        <v>13</v>
      </c>
      <c r="C348" s="19">
        <v>22</v>
      </c>
      <c r="D348" s="19" t="s">
        <v>51</v>
      </c>
      <c r="E348" s="20">
        <v>20.16</v>
      </c>
      <c r="F348" s="20">
        <v>10</v>
      </c>
      <c r="G348" s="15">
        <f t="shared" si="34"/>
        <v>0.08</v>
      </c>
      <c r="H348" s="20"/>
      <c r="I348" s="20"/>
      <c r="J348" s="15">
        <f t="shared" si="35"/>
        <v>20.080000000000002</v>
      </c>
      <c r="K348" s="15">
        <f t="shared" si="36"/>
        <v>10</v>
      </c>
      <c r="L348" s="16">
        <f t="shared" si="37"/>
        <v>80</v>
      </c>
      <c r="M348" s="17">
        <f t="shared" si="38"/>
        <v>8</v>
      </c>
      <c r="N348" s="122" t="s">
        <v>50</v>
      </c>
      <c r="O348" s="123"/>
    </row>
    <row r="349" spans="1:15">
      <c r="A349" s="18">
        <f t="shared" si="39"/>
        <v>335</v>
      </c>
      <c r="B349" s="19" t="s">
        <v>13</v>
      </c>
      <c r="C349" s="19">
        <v>22</v>
      </c>
      <c r="D349" s="19" t="s">
        <v>47</v>
      </c>
      <c r="E349" s="20">
        <v>20.03</v>
      </c>
      <c r="F349" s="20">
        <v>10</v>
      </c>
      <c r="G349" s="15">
        <f t="shared" si="34"/>
        <v>0.08</v>
      </c>
      <c r="H349" s="20"/>
      <c r="I349" s="20"/>
      <c r="J349" s="15">
        <f t="shared" si="35"/>
        <v>19.950000000000003</v>
      </c>
      <c r="K349" s="15">
        <f t="shared" si="36"/>
        <v>10</v>
      </c>
      <c r="L349" s="16">
        <f t="shared" si="37"/>
        <v>-50</v>
      </c>
      <c r="M349" s="17">
        <f t="shared" si="38"/>
        <v>-5</v>
      </c>
      <c r="N349" s="122" t="s">
        <v>50</v>
      </c>
      <c r="O349" s="123"/>
    </row>
    <row r="350" spans="1:15">
      <c r="A350" s="18">
        <f t="shared" si="39"/>
        <v>336</v>
      </c>
      <c r="B350" s="19" t="s">
        <v>13</v>
      </c>
      <c r="C350" s="19">
        <v>22</v>
      </c>
      <c r="D350" s="19" t="s">
        <v>44</v>
      </c>
      <c r="E350" s="20">
        <v>20.03</v>
      </c>
      <c r="F350" s="20">
        <v>10</v>
      </c>
      <c r="G350" s="15">
        <f t="shared" si="34"/>
        <v>0.08</v>
      </c>
      <c r="H350" s="20"/>
      <c r="I350" s="20"/>
      <c r="J350" s="15">
        <f t="shared" si="35"/>
        <v>19.950000000000003</v>
      </c>
      <c r="K350" s="15">
        <f t="shared" si="36"/>
        <v>10</v>
      </c>
      <c r="L350" s="16">
        <f t="shared" si="37"/>
        <v>-50</v>
      </c>
      <c r="M350" s="17">
        <f t="shared" si="38"/>
        <v>-5</v>
      </c>
      <c r="N350" s="122" t="s">
        <v>50</v>
      </c>
      <c r="O350" s="123"/>
    </row>
    <row r="351" spans="1:15">
      <c r="A351" s="18">
        <f t="shared" si="39"/>
        <v>337</v>
      </c>
      <c r="B351" s="19" t="s">
        <v>13</v>
      </c>
      <c r="C351" s="19">
        <v>22</v>
      </c>
      <c r="D351" s="19" t="s">
        <v>45</v>
      </c>
      <c r="E351" s="20">
        <v>14.1</v>
      </c>
      <c r="F351" s="20">
        <v>7</v>
      </c>
      <c r="G351" s="15">
        <f t="shared" si="34"/>
        <v>5.6000000000000001E-2</v>
      </c>
      <c r="H351" s="20"/>
      <c r="I351" s="20"/>
      <c r="J351" s="15">
        <f t="shared" si="35"/>
        <v>14.044</v>
      </c>
      <c r="K351" s="15">
        <f t="shared" si="36"/>
        <v>7</v>
      </c>
      <c r="L351" s="16">
        <f t="shared" si="37"/>
        <v>44</v>
      </c>
      <c r="M351" s="17">
        <f t="shared" si="38"/>
        <v>6.2857142857142856</v>
      </c>
      <c r="N351" s="122" t="s">
        <v>50</v>
      </c>
      <c r="O351" s="123"/>
    </row>
    <row r="352" spans="1:15">
      <c r="A352" s="18">
        <f t="shared" si="39"/>
        <v>338</v>
      </c>
      <c r="B352" s="19" t="s">
        <v>13</v>
      </c>
      <c r="C352" s="19">
        <v>22</v>
      </c>
      <c r="D352" s="19" t="s">
        <v>42</v>
      </c>
      <c r="E352" s="20">
        <v>20.079999999999998</v>
      </c>
      <c r="F352" s="20">
        <v>10</v>
      </c>
      <c r="G352" s="15">
        <f t="shared" si="34"/>
        <v>0.08</v>
      </c>
      <c r="H352" s="20"/>
      <c r="I352" s="20"/>
      <c r="J352" s="15">
        <f t="shared" si="35"/>
        <v>20</v>
      </c>
      <c r="K352" s="15">
        <f t="shared" si="36"/>
        <v>10</v>
      </c>
      <c r="L352" s="16">
        <f t="shared" si="37"/>
        <v>0</v>
      </c>
      <c r="M352" s="17">
        <f t="shared" si="38"/>
        <v>0</v>
      </c>
      <c r="N352" s="122" t="s">
        <v>50</v>
      </c>
      <c r="O352" s="123"/>
    </row>
    <row r="353" spans="1:15">
      <c r="A353" s="18">
        <f t="shared" si="39"/>
        <v>339</v>
      </c>
      <c r="B353" s="19" t="s">
        <v>13</v>
      </c>
      <c r="C353" s="19">
        <v>22</v>
      </c>
      <c r="D353" s="19" t="s">
        <v>48</v>
      </c>
      <c r="E353" s="20">
        <v>20.22</v>
      </c>
      <c r="F353" s="20">
        <v>10</v>
      </c>
      <c r="G353" s="15">
        <f t="shared" si="34"/>
        <v>0.08</v>
      </c>
      <c r="H353" s="20"/>
      <c r="I353" s="20"/>
      <c r="J353" s="15">
        <f t="shared" si="35"/>
        <v>20.14</v>
      </c>
      <c r="K353" s="15">
        <f t="shared" si="36"/>
        <v>10</v>
      </c>
      <c r="L353" s="16">
        <f t="shared" si="37"/>
        <v>140</v>
      </c>
      <c r="M353" s="17">
        <f t="shared" si="38"/>
        <v>14</v>
      </c>
      <c r="N353" s="122" t="s">
        <v>50</v>
      </c>
      <c r="O353" s="123"/>
    </row>
    <row r="354" spans="1:15">
      <c r="A354" s="18">
        <f t="shared" si="39"/>
        <v>340</v>
      </c>
      <c r="B354" s="19" t="s">
        <v>13</v>
      </c>
      <c r="C354" s="19">
        <v>22</v>
      </c>
      <c r="D354" s="19" t="s">
        <v>51</v>
      </c>
      <c r="E354" s="20">
        <v>20.190000000000001</v>
      </c>
      <c r="F354" s="20">
        <v>10</v>
      </c>
      <c r="G354" s="15">
        <f t="shared" si="34"/>
        <v>0.08</v>
      </c>
      <c r="H354" s="20"/>
      <c r="I354" s="20"/>
      <c r="J354" s="15">
        <f t="shared" si="35"/>
        <v>20.110000000000003</v>
      </c>
      <c r="K354" s="15">
        <f t="shared" si="36"/>
        <v>10</v>
      </c>
      <c r="L354" s="16">
        <f t="shared" si="37"/>
        <v>110</v>
      </c>
      <c r="M354" s="17">
        <f t="shared" si="38"/>
        <v>11</v>
      </c>
      <c r="N354" s="122" t="s">
        <v>50</v>
      </c>
      <c r="O354" s="123"/>
    </row>
    <row r="355" spans="1:15">
      <c r="A355" s="18">
        <f t="shared" si="39"/>
        <v>341</v>
      </c>
      <c r="B355" s="19" t="s">
        <v>13</v>
      </c>
      <c r="C355" s="19">
        <v>22</v>
      </c>
      <c r="D355" s="19" t="s">
        <v>47</v>
      </c>
      <c r="E355" s="20">
        <v>20.13</v>
      </c>
      <c r="F355" s="20">
        <v>10</v>
      </c>
      <c r="G355" s="15">
        <f t="shared" si="34"/>
        <v>0.08</v>
      </c>
      <c r="H355" s="20"/>
      <c r="I355" s="20"/>
      <c r="J355" s="15">
        <f t="shared" si="35"/>
        <v>20.05</v>
      </c>
      <c r="K355" s="15">
        <f t="shared" si="36"/>
        <v>10</v>
      </c>
      <c r="L355" s="16">
        <f t="shared" si="37"/>
        <v>50</v>
      </c>
      <c r="M355" s="17">
        <f t="shared" si="38"/>
        <v>5</v>
      </c>
      <c r="N355" s="122" t="s">
        <v>50</v>
      </c>
      <c r="O355" s="123"/>
    </row>
    <row r="356" spans="1:15">
      <c r="A356" s="18">
        <f t="shared" si="39"/>
        <v>342</v>
      </c>
      <c r="B356" s="19" t="s">
        <v>13</v>
      </c>
      <c r="C356" s="19">
        <v>22</v>
      </c>
      <c r="D356" s="19" t="s">
        <v>44</v>
      </c>
      <c r="E356" s="20">
        <v>20.079999999999998</v>
      </c>
      <c r="F356" s="20">
        <v>10</v>
      </c>
      <c r="G356" s="15">
        <f t="shared" si="34"/>
        <v>0.08</v>
      </c>
      <c r="H356" s="20"/>
      <c r="I356" s="20"/>
      <c r="J356" s="15">
        <f t="shared" si="35"/>
        <v>20</v>
      </c>
      <c r="K356" s="15">
        <f t="shared" si="36"/>
        <v>10</v>
      </c>
      <c r="L356" s="16">
        <f t="shared" si="37"/>
        <v>0</v>
      </c>
      <c r="M356" s="17">
        <f t="shared" si="38"/>
        <v>0</v>
      </c>
      <c r="N356" s="122" t="s">
        <v>50</v>
      </c>
      <c r="O356" s="123"/>
    </row>
    <row r="357" spans="1:15">
      <c r="A357" s="18">
        <f t="shared" si="39"/>
        <v>343</v>
      </c>
      <c r="B357" s="19" t="s">
        <v>13</v>
      </c>
      <c r="C357" s="19">
        <v>22</v>
      </c>
      <c r="D357" s="19" t="s">
        <v>42</v>
      </c>
      <c r="E357" s="20">
        <v>20.18</v>
      </c>
      <c r="F357" s="20">
        <v>10</v>
      </c>
      <c r="G357" s="15">
        <f t="shared" si="34"/>
        <v>0.08</v>
      </c>
      <c r="H357" s="20"/>
      <c r="I357" s="20"/>
      <c r="J357" s="15">
        <f t="shared" si="35"/>
        <v>20.100000000000001</v>
      </c>
      <c r="K357" s="15">
        <f t="shared" si="36"/>
        <v>10</v>
      </c>
      <c r="L357" s="16">
        <f t="shared" si="37"/>
        <v>100</v>
      </c>
      <c r="M357" s="17">
        <f t="shared" si="38"/>
        <v>10</v>
      </c>
      <c r="N357" s="122" t="s">
        <v>50</v>
      </c>
      <c r="O357" s="123"/>
    </row>
    <row r="358" spans="1:15">
      <c r="A358" s="18">
        <f t="shared" si="39"/>
        <v>344</v>
      </c>
      <c r="B358" s="19" t="s">
        <v>13</v>
      </c>
      <c r="C358" s="19">
        <v>22</v>
      </c>
      <c r="D358" s="19" t="s">
        <v>45</v>
      </c>
      <c r="E358" s="20">
        <v>20.14</v>
      </c>
      <c r="F358" s="20">
        <v>10</v>
      </c>
      <c r="G358" s="15">
        <f t="shared" si="34"/>
        <v>0.08</v>
      </c>
      <c r="H358" s="20"/>
      <c r="I358" s="20"/>
      <c r="J358" s="15">
        <f t="shared" si="35"/>
        <v>20.060000000000002</v>
      </c>
      <c r="K358" s="15">
        <f t="shared" si="36"/>
        <v>10</v>
      </c>
      <c r="L358" s="16">
        <f t="shared" si="37"/>
        <v>60</v>
      </c>
      <c r="M358" s="17">
        <f t="shared" si="38"/>
        <v>6</v>
      </c>
      <c r="N358" s="122" t="s">
        <v>50</v>
      </c>
      <c r="O358" s="123"/>
    </row>
    <row r="359" spans="1:15">
      <c r="A359" s="18">
        <f t="shared" si="39"/>
        <v>345</v>
      </c>
      <c r="B359" s="19" t="s">
        <v>13</v>
      </c>
      <c r="C359" s="19">
        <v>22</v>
      </c>
      <c r="D359" s="19" t="s">
        <v>48</v>
      </c>
      <c r="E359" s="20">
        <v>20.09</v>
      </c>
      <c r="F359" s="20">
        <v>10</v>
      </c>
      <c r="G359" s="15">
        <f t="shared" si="34"/>
        <v>0.08</v>
      </c>
      <c r="H359" s="20"/>
      <c r="I359" s="20"/>
      <c r="J359" s="15">
        <f t="shared" si="35"/>
        <v>20.010000000000002</v>
      </c>
      <c r="K359" s="15">
        <f t="shared" si="36"/>
        <v>10</v>
      </c>
      <c r="L359" s="16">
        <f t="shared" si="37"/>
        <v>10</v>
      </c>
      <c r="M359" s="17">
        <f t="shared" si="38"/>
        <v>1</v>
      </c>
      <c r="N359" s="122" t="s">
        <v>50</v>
      </c>
      <c r="O359" s="123"/>
    </row>
    <row r="360" spans="1:15">
      <c r="A360" s="18">
        <f t="shared" si="39"/>
        <v>346</v>
      </c>
      <c r="B360" s="19" t="s">
        <v>13</v>
      </c>
      <c r="C360" s="19">
        <v>22</v>
      </c>
      <c r="D360" s="19" t="s">
        <v>44</v>
      </c>
      <c r="E360" s="20">
        <v>20.07</v>
      </c>
      <c r="F360" s="20">
        <v>10</v>
      </c>
      <c r="G360" s="15">
        <f t="shared" si="34"/>
        <v>0.08</v>
      </c>
      <c r="H360" s="20"/>
      <c r="I360" s="20"/>
      <c r="J360" s="15">
        <f t="shared" si="35"/>
        <v>19.990000000000002</v>
      </c>
      <c r="K360" s="15">
        <f t="shared" si="36"/>
        <v>10</v>
      </c>
      <c r="L360" s="16">
        <f t="shared" si="37"/>
        <v>-10</v>
      </c>
      <c r="M360" s="17">
        <f t="shared" si="38"/>
        <v>-1</v>
      </c>
      <c r="N360" s="122" t="s">
        <v>50</v>
      </c>
      <c r="O360" s="123"/>
    </row>
    <row r="361" spans="1:15">
      <c r="A361" s="18">
        <f t="shared" si="39"/>
        <v>347</v>
      </c>
      <c r="B361" s="19" t="s">
        <v>13</v>
      </c>
      <c r="C361" s="19">
        <v>22</v>
      </c>
      <c r="D361" s="19" t="s">
        <v>51</v>
      </c>
      <c r="E361" s="20">
        <v>20.05</v>
      </c>
      <c r="F361" s="20">
        <v>10</v>
      </c>
      <c r="G361" s="15">
        <f t="shared" si="34"/>
        <v>0.08</v>
      </c>
      <c r="H361" s="20"/>
      <c r="I361" s="20"/>
      <c r="J361" s="15">
        <f t="shared" si="35"/>
        <v>19.970000000000002</v>
      </c>
      <c r="K361" s="15">
        <f t="shared" si="36"/>
        <v>10</v>
      </c>
      <c r="L361" s="16">
        <f t="shared" si="37"/>
        <v>-30</v>
      </c>
      <c r="M361" s="17">
        <f t="shared" si="38"/>
        <v>-3</v>
      </c>
      <c r="N361" s="122" t="s">
        <v>50</v>
      </c>
      <c r="O361" s="123"/>
    </row>
    <row r="362" spans="1:15">
      <c r="A362" s="18">
        <f t="shared" si="39"/>
        <v>348</v>
      </c>
      <c r="B362" s="19" t="s">
        <v>13</v>
      </c>
      <c r="C362" s="19">
        <v>22</v>
      </c>
      <c r="D362" s="19" t="s">
        <v>47</v>
      </c>
      <c r="E362" s="20">
        <v>20.13</v>
      </c>
      <c r="F362" s="20">
        <v>10</v>
      </c>
      <c r="G362" s="15">
        <f t="shared" si="34"/>
        <v>0.08</v>
      </c>
      <c r="H362" s="20"/>
      <c r="I362" s="20"/>
      <c r="J362" s="15">
        <f t="shared" si="35"/>
        <v>20.05</v>
      </c>
      <c r="K362" s="15">
        <f t="shared" si="36"/>
        <v>10</v>
      </c>
      <c r="L362" s="16">
        <f t="shared" si="37"/>
        <v>50</v>
      </c>
      <c r="M362" s="17">
        <f t="shared" si="38"/>
        <v>5</v>
      </c>
      <c r="N362" s="122" t="s">
        <v>50</v>
      </c>
      <c r="O362" s="123"/>
    </row>
    <row r="363" spans="1:15">
      <c r="A363" s="18">
        <f t="shared" si="39"/>
        <v>349</v>
      </c>
      <c r="B363" s="19" t="s">
        <v>13</v>
      </c>
      <c r="C363" s="19">
        <v>22</v>
      </c>
      <c r="D363" s="19" t="s">
        <v>45</v>
      </c>
      <c r="E363" s="20">
        <v>20.100000000000001</v>
      </c>
      <c r="F363" s="20">
        <v>10</v>
      </c>
      <c r="G363" s="15">
        <f t="shared" si="34"/>
        <v>0.08</v>
      </c>
      <c r="H363" s="20"/>
      <c r="I363" s="20"/>
      <c r="J363" s="15">
        <f t="shared" si="35"/>
        <v>20.020000000000003</v>
      </c>
      <c r="K363" s="15">
        <f t="shared" si="36"/>
        <v>10</v>
      </c>
      <c r="L363" s="16">
        <f t="shared" si="37"/>
        <v>20</v>
      </c>
      <c r="M363" s="17">
        <f t="shared" si="38"/>
        <v>2</v>
      </c>
      <c r="N363" s="122" t="s">
        <v>50</v>
      </c>
      <c r="O363" s="123"/>
    </row>
    <row r="364" spans="1:15">
      <c r="A364" s="18">
        <f t="shared" si="39"/>
        <v>350</v>
      </c>
      <c r="B364" s="19" t="s">
        <v>13</v>
      </c>
      <c r="C364" s="19">
        <v>22</v>
      </c>
      <c r="D364" s="19" t="s">
        <v>48</v>
      </c>
      <c r="E364" s="20">
        <v>20.149999999999999</v>
      </c>
      <c r="F364" s="20">
        <v>10</v>
      </c>
      <c r="G364" s="15">
        <f t="shared" si="34"/>
        <v>0.08</v>
      </c>
      <c r="H364" s="20"/>
      <c r="I364" s="20"/>
      <c r="J364" s="15">
        <f t="shared" si="35"/>
        <v>20.07</v>
      </c>
      <c r="K364" s="15">
        <f t="shared" si="36"/>
        <v>10</v>
      </c>
      <c r="L364" s="16">
        <f t="shared" si="37"/>
        <v>70</v>
      </c>
      <c r="M364" s="17">
        <f t="shared" si="38"/>
        <v>7</v>
      </c>
      <c r="N364" s="122" t="s">
        <v>50</v>
      </c>
      <c r="O364" s="123"/>
    </row>
    <row r="365" spans="1:15">
      <c r="A365" s="18">
        <f t="shared" si="39"/>
        <v>351</v>
      </c>
      <c r="B365" s="19" t="s">
        <v>13</v>
      </c>
      <c r="C365" s="19">
        <v>22</v>
      </c>
      <c r="D365" s="19" t="s">
        <v>44</v>
      </c>
      <c r="E365" s="20">
        <v>20.059999999999999</v>
      </c>
      <c r="F365" s="20">
        <v>10</v>
      </c>
      <c r="G365" s="15">
        <f t="shared" si="34"/>
        <v>0.08</v>
      </c>
      <c r="H365" s="20"/>
      <c r="I365" s="20"/>
      <c r="J365" s="15">
        <f t="shared" si="35"/>
        <v>19.98</v>
      </c>
      <c r="K365" s="15">
        <f t="shared" si="36"/>
        <v>10</v>
      </c>
      <c r="L365" s="16">
        <f t="shared" si="37"/>
        <v>-20</v>
      </c>
      <c r="M365" s="17">
        <f t="shared" si="38"/>
        <v>-2</v>
      </c>
      <c r="N365" s="122" t="s">
        <v>50</v>
      </c>
      <c r="O365" s="123"/>
    </row>
    <row r="366" spans="1:15">
      <c r="A366" s="18">
        <f t="shared" si="39"/>
        <v>352</v>
      </c>
      <c r="B366" s="19" t="s">
        <v>13</v>
      </c>
      <c r="C366" s="19">
        <v>22</v>
      </c>
      <c r="D366" s="19" t="s">
        <v>51</v>
      </c>
      <c r="E366" s="20">
        <v>20.12</v>
      </c>
      <c r="F366" s="20">
        <v>10</v>
      </c>
      <c r="G366" s="15">
        <f t="shared" si="34"/>
        <v>0.08</v>
      </c>
      <c r="H366" s="20"/>
      <c r="I366" s="20"/>
      <c r="J366" s="15">
        <f t="shared" si="35"/>
        <v>20.040000000000003</v>
      </c>
      <c r="K366" s="15">
        <f t="shared" si="36"/>
        <v>10</v>
      </c>
      <c r="L366" s="16">
        <f t="shared" si="37"/>
        <v>40</v>
      </c>
      <c r="M366" s="17">
        <f t="shared" si="38"/>
        <v>4</v>
      </c>
      <c r="N366" s="122" t="s">
        <v>50</v>
      </c>
      <c r="O366" s="123"/>
    </row>
    <row r="367" spans="1:15">
      <c r="A367" s="18">
        <f t="shared" si="39"/>
        <v>353</v>
      </c>
      <c r="B367" s="19" t="s">
        <v>13</v>
      </c>
      <c r="C367" s="19">
        <v>22</v>
      </c>
      <c r="D367" s="19" t="s">
        <v>47</v>
      </c>
      <c r="E367" s="20">
        <v>20.079999999999998</v>
      </c>
      <c r="F367" s="20">
        <v>10</v>
      </c>
      <c r="G367" s="15">
        <f t="shared" si="34"/>
        <v>0.08</v>
      </c>
      <c r="H367" s="20"/>
      <c r="I367" s="20"/>
      <c r="J367" s="15">
        <f t="shared" si="35"/>
        <v>20</v>
      </c>
      <c r="K367" s="15">
        <f t="shared" si="36"/>
        <v>10</v>
      </c>
      <c r="L367" s="16">
        <f t="shared" si="37"/>
        <v>0</v>
      </c>
      <c r="M367" s="17">
        <f t="shared" si="38"/>
        <v>0</v>
      </c>
      <c r="N367" s="122" t="s">
        <v>50</v>
      </c>
      <c r="O367" s="123"/>
    </row>
    <row r="368" spans="1:15">
      <c r="A368" s="18">
        <f t="shared" si="39"/>
        <v>354</v>
      </c>
      <c r="B368" s="19" t="s">
        <v>13</v>
      </c>
      <c r="C368" s="19">
        <v>22</v>
      </c>
      <c r="D368" s="19" t="s">
        <v>45</v>
      </c>
      <c r="E368" s="20">
        <v>20.11</v>
      </c>
      <c r="F368" s="20">
        <v>10</v>
      </c>
      <c r="G368" s="15">
        <f t="shared" si="34"/>
        <v>0.08</v>
      </c>
      <c r="H368" s="20"/>
      <c r="I368" s="20"/>
      <c r="J368" s="15">
        <f t="shared" si="35"/>
        <v>20.03</v>
      </c>
      <c r="K368" s="15">
        <f t="shared" si="36"/>
        <v>10</v>
      </c>
      <c r="L368" s="16">
        <f t="shared" si="37"/>
        <v>30</v>
      </c>
      <c r="M368" s="17">
        <f t="shared" si="38"/>
        <v>3</v>
      </c>
      <c r="N368" s="122" t="s">
        <v>50</v>
      </c>
      <c r="O368" s="123"/>
    </row>
    <row r="369" spans="1:15">
      <c r="A369" s="18">
        <f t="shared" si="39"/>
        <v>355</v>
      </c>
      <c r="B369" s="19" t="s">
        <v>13</v>
      </c>
      <c r="C369" s="19">
        <v>22</v>
      </c>
      <c r="D369" s="19" t="s">
        <v>48</v>
      </c>
      <c r="E369" s="20">
        <v>20.14</v>
      </c>
      <c r="F369" s="20">
        <v>10</v>
      </c>
      <c r="G369" s="15">
        <f t="shared" si="34"/>
        <v>0.08</v>
      </c>
      <c r="H369" s="20"/>
      <c r="I369" s="20"/>
      <c r="J369" s="15">
        <f t="shared" si="35"/>
        <v>20.060000000000002</v>
      </c>
      <c r="K369" s="15">
        <f t="shared" si="36"/>
        <v>10</v>
      </c>
      <c r="L369" s="16">
        <f t="shared" si="37"/>
        <v>60</v>
      </c>
      <c r="M369" s="17">
        <f t="shared" si="38"/>
        <v>6</v>
      </c>
      <c r="N369" s="122" t="s">
        <v>50</v>
      </c>
      <c r="O369" s="123"/>
    </row>
    <row r="370" spans="1:15">
      <c r="A370" s="18">
        <f t="shared" si="39"/>
        <v>356</v>
      </c>
      <c r="B370" s="19" t="s">
        <v>13</v>
      </c>
      <c r="C370" s="19">
        <v>22</v>
      </c>
      <c r="D370" s="19" t="s">
        <v>44</v>
      </c>
      <c r="E370" s="20">
        <v>20.18</v>
      </c>
      <c r="F370" s="20">
        <v>10</v>
      </c>
      <c r="G370" s="15">
        <f t="shared" si="34"/>
        <v>0.08</v>
      </c>
      <c r="H370" s="20"/>
      <c r="I370" s="20"/>
      <c r="J370" s="15">
        <f t="shared" si="35"/>
        <v>20.100000000000001</v>
      </c>
      <c r="K370" s="15">
        <f t="shared" si="36"/>
        <v>10</v>
      </c>
      <c r="L370" s="16">
        <f t="shared" si="37"/>
        <v>100</v>
      </c>
      <c r="M370" s="17">
        <f t="shared" si="38"/>
        <v>10</v>
      </c>
      <c r="N370" s="122" t="s">
        <v>50</v>
      </c>
      <c r="O370" s="123"/>
    </row>
    <row r="371" spans="1:15">
      <c r="A371" s="18">
        <f t="shared" si="39"/>
        <v>357</v>
      </c>
      <c r="B371" s="19" t="s">
        <v>13</v>
      </c>
      <c r="C371" s="19">
        <v>22</v>
      </c>
      <c r="D371" s="19" t="s">
        <v>51</v>
      </c>
      <c r="E371" s="20">
        <v>20.149999999999999</v>
      </c>
      <c r="F371" s="20">
        <v>10</v>
      </c>
      <c r="G371" s="15">
        <f t="shared" si="34"/>
        <v>0.08</v>
      </c>
      <c r="H371" s="20"/>
      <c r="I371" s="20"/>
      <c r="J371" s="15">
        <f t="shared" si="35"/>
        <v>20.07</v>
      </c>
      <c r="K371" s="15">
        <f t="shared" si="36"/>
        <v>10</v>
      </c>
      <c r="L371" s="16">
        <f t="shared" si="37"/>
        <v>70</v>
      </c>
      <c r="M371" s="17">
        <f t="shared" si="38"/>
        <v>7</v>
      </c>
      <c r="N371" s="122" t="s">
        <v>50</v>
      </c>
      <c r="O371" s="123"/>
    </row>
    <row r="372" spans="1:15">
      <c r="A372" s="18">
        <f t="shared" si="39"/>
        <v>358</v>
      </c>
      <c r="B372" s="19" t="s">
        <v>13</v>
      </c>
      <c r="C372" s="19">
        <v>22</v>
      </c>
      <c r="D372" s="19" t="s">
        <v>47</v>
      </c>
      <c r="E372" s="20">
        <v>20.13</v>
      </c>
      <c r="F372" s="20">
        <v>10</v>
      </c>
      <c r="G372" s="15">
        <f t="shared" si="34"/>
        <v>0.08</v>
      </c>
      <c r="H372" s="20"/>
      <c r="I372" s="20"/>
      <c r="J372" s="15">
        <f t="shared" si="35"/>
        <v>20.05</v>
      </c>
      <c r="K372" s="15">
        <f t="shared" si="36"/>
        <v>10</v>
      </c>
      <c r="L372" s="16">
        <f t="shared" si="37"/>
        <v>50</v>
      </c>
      <c r="M372" s="17">
        <f t="shared" si="38"/>
        <v>5</v>
      </c>
      <c r="N372" s="122" t="s">
        <v>50</v>
      </c>
      <c r="O372" s="123"/>
    </row>
    <row r="373" spans="1:15">
      <c r="A373" s="18">
        <f t="shared" si="39"/>
        <v>359</v>
      </c>
      <c r="B373" s="19" t="s">
        <v>13</v>
      </c>
      <c r="C373" s="19">
        <v>22</v>
      </c>
      <c r="D373" s="19" t="s">
        <v>45</v>
      </c>
      <c r="E373" s="20">
        <v>20.149999999999999</v>
      </c>
      <c r="F373" s="20">
        <v>10</v>
      </c>
      <c r="G373" s="15">
        <f t="shared" si="34"/>
        <v>0.08</v>
      </c>
      <c r="H373" s="20"/>
      <c r="I373" s="20"/>
      <c r="J373" s="15">
        <f t="shared" si="35"/>
        <v>20.07</v>
      </c>
      <c r="K373" s="15">
        <f t="shared" si="36"/>
        <v>10</v>
      </c>
      <c r="L373" s="16">
        <f t="shared" si="37"/>
        <v>70</v>
      </c>
      <c r="M373" s="17">
        <f t="shared" si="38"/>
        <v>7</v>
      </c>
      <c r="N373" s="122" t="s">
        <v>50</v>
      </c>
      <c r="O373" s="123"/>
    </row>
    <row r="374" spans="1:15">
      <c r="A374" s="18">
        <f t="shared" si="39"/>
        <v>360</v>
      </c>
      <c r="B374" s="19" t="s">
        <v>13</v>
      </c>
      <c r="C374" s="19">
        <v>22</v>
      </c>
      <c r="D374" s="19" t="s">
        <v>48</v>
      </c>
      <c r="E374" s="20">
        <v>20.149999999999999</v>
      </c>
      <c r="F374" s="20">
        <v>10</v>
      </c>
      <c r="G374" s="15">
        <f t="shared" si="34"/>
        <v>0.08</v>
      </c>
      <c r="H374" s="20"/>
      <c r="I374" s="20"/>
      <c r="J374" s="15">
        <f t="shared" si="35"/>
        <v>20.07</v>
      </c>
      <c r="K374" s="15">
        <f t="shared" si="36"/>
        <v>10</v>
      </c>
      <c r="L374" s="16">
        <f t="shared" si="37"/>
        <v>70</v>
      </c>
      <c r="M374" s="17">
        <f t="shared" si="38"/>
        <v>7</v>
      </c>
      <c r="N374" s="122" t="s">
        <v>50</v>
      </c>
      <c r="O374" s="123"/>
    </row>
    <row r="375" spans="1:15">
      <c r="A375" s="18">
        <f t="shared" si="39"/>
        <v>361</v>
      </c>
      <c r="B375" s="19" t="s">
        <v>13</v>
      </c>
      <c r="C375" s="19">
        <v>22</v>
      </c>
      <c r="D375" s="19" t="s">
        <v>44</v>
      </c>
      <c r="E375" s="20">
        <v>20.14</v>
      </c>
      <c r="F375" s="20">
        <v>10</v>
      </c>
      <c r="G375" s="15">
        <f t="shared" si="34"/>
        <v>0.08</v>
      </c>
      <c r="H375" s="20"/>
      <c r="I375" s="20"/>
      <c r="J375" s="15">
        <f t="shared" si="35"/>
        <v>20.060000000000002</v>
      </c>
      <c r="K375" s="15">
        <f t="shared" si="36"/>
        <v>10</v>
      </c>
      <c r="L375" s="16">
        <f t="shared" si="37"/>
        <v>60</v>
      </c>
      <c r="M375" s="17">
        <f t="shared" si="38"/>
        <v>6</v>
      </c>
      <c r="N375" s="122" t="s">
        <v>50</v>
      </c>
      <c r="O375" s="123"/>
    </row>
    <row r="376" spans="1:15">
      <c r="A376" s="18">
        <f t="shared" si="39"/>
        <v>362</v>
      </c>
      <c r="B376" s="19" t="s">
        <v>13</v>
      </c>
      <c r="C376" s="19">
        <v>22</v>
      </c>
      <c r="D376" s="19" t="s">
        <v>51</v>
      </c>
      <c r="E376" s="20">
        <v>20.18</v>
      </c>
      <c r="F376" s="20">
        <v>10</v>
      </c>
      <c r="G376" s="15">
        <f t="shared" si="34"/>
        <v>0.08</v>
      </c>
      <c r="H376" s="20"/>
      <c r="I376" s="20"/>
      <c r="J376" s="15">
        <f t="shared" si="35"/>
        <v>20.100000000000001</v>
      </c>
      <c r="K376" s="15">
        <f t="shared" si="36"/>
        <v>10</v>
      </c>
      <c r="L376" s="16">
        <f t="shared" si="37"/>
        <v>100</v>
      </c>
      <c r="M376" s="17">
        <f t="shared" si="38"/>
        <v>10</v>
      </c>
      <c r="N376" s="122" t="s">
        <v>50</v>
      </c>
      <c r="O376" s="123"/>
    </row>
    <row r="377" spans="1:15">
      <c r="A377" s="18">
        <f t="shared" si="39"/>
        <v>363</v>
      </c>
      <c r="B377" s="19" t="s">
        <v>13</v>
      </c>
      <c r="C377" s="19">
        <v>22</v>
      </c>
      <c r="D377" s="19" t="s">
        <v>47</v>
      </c>
      <c r="E377" s="20">
        <v>20.11</v>
      </c>
      <c r="F377" s="20">
        <v>10</v>
      </c>
      <c r="G377" s="15">
        <f t="shared" si="34"/>
        <v>0.08</v>
      </c>
      <c r="H377" s="20"/>
      <c r="I377" s="20"/>
      <c r="J377" s="15">
        <f t="shared" si="35"/>
        <v>20.03</v>
      </c>
      <c r="K377" s="15">
        <f t="shared" si="36"/>
        <v>10</v>
      </c>
      <c r="L377" s="16">
        <f t="shared" si="37"/>
        <v>30</v>
      </c>
      <c r="M377" s="17">
        <f t="shared" si="38"/>
        <v>3</v>
      </c>
      <c r="N377" s="122" t="s">
        <v>50</v>
      </c>
      <c r="O377" s="123"/>
    </row>
    <row r="378" spans="1:15">
      <c r="A378" s="18">
        <f t="shared" si="39"/>
        <v>364</v>
      </c>
      <c r="B378" s="19" t="s">
        <v>13</v>
      </c>
      <c r="C378" s="19">
        <v>22</v>
      </c>
      <c r="D378" s="19" t="s">
        <v>45</v>
      </c>
      <c r="E378" s="20">
        <v>20.12</v>
      </c>
      <c r="F378" s="20">
        <v>10</v>
      </c>
      <c r="G378" s="15">
        <f t="shared" si="34"/>
        <v>0.08</v>
      </c>
      <c r="H378" s="20"/>
      <c r="I378" s="20"/>
      <c r="J378" s="15">
        <f t="shared" si="35"/>
        <v>20.040000000000003</v>
      </c>
      <c r="K378" s="15">
        <f t="shared" si="36"/>
        <v>10</v>
      </c>
      <c r="L378" s="16">
        <f t="shared" si="37"/>
        <v>40</v>
      </c>
      <c r="M378" s="17">
        <f t="shared" si="38"/>
        <v>4</v>
      </c>
      <c r="N378" s="122" t="s">
        <v>50</v>
      </c>
      <c r="O378" s="123"/>
    </row>
    <row r="379" spans="1:15">
      <c r="A379" s="18">
        <f t="shared" si="39"/>
        <v>365</v>
      </c>
      <c r="B379" s="19" t="s">
        <v>13</v>
      </c>
      <c r="C379" s="19">
        <v>22</v>
      </c>
      <c r="D379" s="19" t="s">
        <v>48</v>
      </c>
      <c r="E379" s="20">
        <v>20.12</v>
      </c>
      <c r="F379" s="20">
        <v>10</v>
      </c>
      <c r="G379" s="15">
        <f t="shared" si="34"/>
        <v>0.08</v>
      </c>
      <c r="H379" s="20"/>
      <c r="I379" s="20"/>
      <c r="J379" s="15">
        <f t="shared" si="35"/>
        <v>20.040000000000003</v>
      </c>
      <c r="K379" s="15">
        <f t="shared" si="36"/>
        <v>10</v>
      </c>
      <c r="L379" s="16">
        <f t="shared" si="37"/>
        <v>40</v>
      </c>
      <c r="M379" s="17">
        <f t="shared" si="38"/>
        <v>4</v>
      </c>
      <c r="N379" s="122" t="s">
        <v>50</v>
      </c>
      <c r="O379" s="123"/>
    </row>
    <row r="380" spans="1:15">
      <c r="A380" s="18">
        <f t="shared" si="39"/>
        <v>366</v>
      </c>
      <c r="B380" s="19" t="s">
        <v>13</v>
      </c>
      <c r="C380" s="19">
        <v>22</v>
      </c>
      <c r="D380" s="19" t="s">
        <v>44</v>
      </c>
      <c r="E380" s="20">
        <v>20.11</v>
      </c>
      <c r="F380" s="20">
        <v>10</v>
      </c>
      <c r="G380" s="15">
        <f t="shared" si="34"/>
        <v>0.08</v>
      </c>
      <c r="H380" s="20"/>
      <c r="I380" s="20"/>
      <c r="J380" s="15">
        <f t="shared" si="35"/>
        <v>20.03</v>
      </c>
      <c r="K380" s="15">
        <f t="shared" si="36"/>
        <v>10</v>
      </c>
      <c r="L380" s="16">
        <f t="shared" si="37"/>
        <v>30</v>
      </c>
      <c r="M380" s="17">
        <f t="shared" si="38"/>
        <v>3</v>
      </c>
      <c r="N380" s="122" t="s">
        <v>50</v>
      </c>
      <c r="O380" s="123"/>
    </row>
    <row r="381" spans="1:15">
      <c r="A381" s="18">
        <f t="shared" si="39"/>
        <v>367</v>
      </c>
      <c r="B381" s="19" t="s">
        <v>13</v>
      </c>
      <c r="C381" s="19">
        <v>22</v>
      </c>
      <c r="D381" s="19" t="s">
        <v>51</v>
      </c>
      <c r="E381" s="20">
        <v>20.16</v>
      </c>
      <c r="F381" s="20">
        <v>10</v>
      </c>
      <c r="G381" s="15">
        <f t="shared" si="34"/>
        <v>0.08</v>
      </c>
      <c r="H381" s="20"/>
      <c r="I381" s="20"/>
      <c r="J381" s="15">
        <f t="shared" si="35"/>
        <v>20.080000000000002</v>
      </c>
      <c r="K381" s="15">
        <f t="shared" si="36"/>
        <v>10</v>
      </c>
      <c r="L381" s="16">
        <f t="shared" si="37"/>
        <v>80</v>
      </c>
      <c r="M381" s="17">
        <f t="shared" si="38"/>
        <v>8</v>
      </c>
      <c r="N381" s="122" t="s">
        <v>50</v>
      </c>
      <c r="O381" s="123"/>
    </row>
    <row r="382" spans="1:15">
      <c r="A382" s="18">
        <f t="shared" si="39"/>
        <v>368</v>
      </c>
      <c r="B382" s="19" t="s">
        <v>18</v>
      </c>
      <c r="C382" s="19">
        <v>22</v>
      </c>
      <c r="D382" s="19" t="s">
        <v>47</v>
      </c>
      <c r="E382" s="20">
        <v>20.2</v>
      </c>
      <c r="F382" s="20">
        <v>10</v>
      </c>
      <c r="G382" s="15">
        <f t="shared" si="34"/>
        <v>0.08</v>
      </c>
      <c r="H382" s="20"/>
      <c r="I382" s="20"/>
      <c r="J382" s="15">
        <f t="shared" si="35"/>
        <v>20.12</v>
      </c>
      <c r="K382" s="15">
        <f t="shared" si="36"/>
        <v>10</v>
      </c>
      <c r="L382" s="16">
        <f t="shared" si="37"/>
        <v>120</v>
      </c>
      <c r="M382" s="17">
        <f t="shared" si="38"/>
        <v>12</v>
      </c>
      <c r="N382" s="122" t="s">
        <v>50</v>
      </c>
      <c r="O382" s="123"/>
    </row>
    <row r="383" spans="1:15">
      <c r="A383" s="18">
        <f t="shared" si="39"/>
        <v>369</v>
      </c>
      <c r="B383" s="19" t="s">
        <v>18</v>
      </c>
      <c r="C383" s="19">
        <v>22</v>
      </c>
      <c r="D383" s="19" t="s">
        <v>45</v>
      </c>
      <c r="E383" s="20">
        <v>16.100000000000001</v>
      </c>
      <c r="F383" s="20">
        <v>8</v>
      </c>
      <c r="G383" s="15">
        <f t="shared" si="34"/>
        <v>6.4000000000000001E-2</v>
      </c>
      <c r="H383" s="20"/>
      <c r="I383" s="20"/>
      <c r="J383" s="15">
        <f t="shared" si="35"/>
        <v>16.036000000000001</v>
      </c>
      <c r="K383" s="15">
        <f t="shared" si="36"/>
        <v>8</v>
      </c>
      <c r="L383" s="16">
        <f t="shared" si="37"/>
        <v>36.000000000001819</v>
      </c>
      <c r="M383" s="17">
        <f t="shared" si="38"/>
        <v>4.5000000000002274</v>
      </c>
      <c r="N383" s="122" t="s">
        <v>50</v>
      </c>
      <c r="O383" s="123"/>
    </row>
    <row r="384" spans="1:15">
      <c r="A384" s="18">
        <f t="shared" si="39"/>
        <v>370</v>
      </c>
      <c r="B384" s="19" t="s">
        <v>18</v>
      </c>
      <c r="C384" s="19">
        <v>22</v>
      </c>
      <c r="D384" s="19" t="s">
        <v>48</v>
      </c>
      <c r="E384" s="20">
        <v>16.14</v>
      </c>
      <c r="F384" s="20">
        <v>8</v>
      </c>
      <c r="G384" s="15">
        <f t="shared" si="34"/>
        <v>6.4000000000000001E-2</v>
      </c>
      <c r="H384" s="20"/>
      <c r="I384" s="20"/>
      <c r="J384" s="15">
        <f t="shared" si="35"/>
        <v>16.076000000000001</v>
      </c>
      <c r="K384" s="15">
        <f t="shared" si="36"/>
        <v>8</v>
      </c>
      <c r="L384" s="16">
        <f t="shared" si="37"/>
        <v>76</v>
      </c>
      <c r="M384" s="17">
        <f t="shared" si="38"/>
        <v>9.5</v>
      </c>
      <c r="N384" s="122" t="s">
        <v>50</v>
      </c>
      <c r="O384" s="123"/>
    </row>
    <row r="385" spans="1:15">
      <c r="A385" s="18">
        <f t="shared" si="39"/>
        <v>371</v>
      </c>
      <c r="B385" s="19" t="s">
        <v>18</v>
      </c>
      <c r="C385" s="19">
        <v>22</v>
      </c>
      <c r="D385" s="19" t="s">
        <v>44</v>
      </c>
      <c r="E385" s="20">
        <v>16.23</v>
      </c>
      <c r="F385" s="20">
        <v>8</v>
      </c>
      <c r="G385" s="15">
        <f t="shared" si="34"/>
        <v>6.4000000000000001E-2</v>
      </c>
      <c r="H385" s="20"/>
      <c r="I385" s="20"/>
      <c r="J385" s="15">
        <f t="shared" si="35"/>
        <v>16.166</v>
      </c>
      <c r="K385" s="15">
        <f t="shared" si="36"/>
        <v>8</v>
      </c>
      <c r="L385" s="16">
        <f t="shared" si="37"/>
        <v>166</v>
      </c>
      <c r="M385" s="17">
        <f t="shared" si="38"/>
        <v>20.75</v>
      </c>
      <c r="N385" s="122" t="s">
        <v>50</v>
      </c>
      <c r="O385" s="123"/>
    </row>
    <row r="386" spans="1:15">
      <c r="A386" s="18">
        <f t="shared" si="39"/>
        <v>372</v>
      </c>
      <c r="B386" s="19"/>
      <c r="C386" s="19"/>
      <c r="D386" s="19"/>
      <c r="E386" s="20"/>
      <c r="F386" s="20"/>
      <c r="G386" s="15">
        <f t="shared" si="34"/>
        <v>0</v>
      </c>
      <c r="H386" s="20"/>
      <c r="I386" s="20"/>
      <c r="J386" s="15">
        <f t="shared" si="35"/>
        <v>0</v>
      </c>
      <c r="K386" s="15">
        <f t="shared" si="36"/>
        <v>0</v>
      </c>
      <c r="L386" s="16">
        <f t="shared" si="37"/>
        <v>0</v>
      </c>
      <c r="M386" s="17" t="str">
        <f t="shared" si="38"/>
        <v>-</v>
      </c>
      <c r="N386" s="92"/>
      <c r="O386" s="93"/>
    </row>
    <row r="387" spans="1:15">
      <c r="A387" s="18">
        <f t="shared" si="39"/>
        <v>373</v>
      </c>
      <c r="B387" s="19"/>
      <c r="C387" s="19"/>
      <c r="D387" s="19"/>
      <c r="E387" s="20"/>
      <c r="F387" s="20"/>
      <c r="G387" s="15">
        <f t="shared" si="34"/>
        <v>0</v>
      </c>
      <c r="H387" s="20"/>
      <c r="I387" s="20"/>
      <c r="J387" s="15">
        <f t="shared" si="35"/>
        <v>0</v>
      </c>
      <c r="K387" s="15">
        <f t="shared" si="36"/>
        <v>0</v>
      </c>
      <c r="L387" s="16">
        <f t="shared" si="37"/>
        <v>0</v>
      </c>
      <c r="M387" s="17" t="str">
        <f t="shared" si="38"/>
        <v>-</v>
      </c>
      <c r="N387" s="92"/>
      <c r="O387" s="93"/>
    </row>
    <row r="388" spans="1:15">
      <c r="A388" s="18">
        <f t="shared" si="39"/>
        <v>374</v>
      </c>
      <c r="B388" s="19"/>
      <c r="C388" s="19"/>
      <c r="D388" s="19"/>
      <c r="E388" s="20"/>
      <c r="F388" s="20"/>
      <c r="G388" s="15">
        <f t="shared" si="34"/>
        <v>0</v>
      </c>
      <c r="H388" s="20"/>
      <c r="I388" s="20"/>
      <c r="J388" s="15">
        <f t="shared" si="35"/>
        <v>0</v>
      </c>
      <c r="K388" s="15">
        <f t="shared" si="36"/>
        <v>0</v>
      </c>
      <c r="L388" s="16">
        <f t="shared" si="37"/>
        <v>0</v>
      </c>
      <c r="M388" s="17" t="str">
        <f t="shared" si="38"/>
        <v>-</v>
      </c>
      <c r="N388" s="92"/>
      <c r="O388" s="93"/>
    </row>
    <row r="389" spans="1:15">
      <c r="A389" s="18">
        <f t="shared" si="39"/>
        <v>375</v>
      </c>
      <c r="B389" s="19"/>
      <c r="C389" s="19"/>
      <c r="D389" s="19"/>
      <c r="E389" s="20"/>
      <c r="F389" s="20"/>
      <c r="G389" s="15">
        <f t="shared" si="34"/>
        <v>0</v>
      </c>
      <c r="H389" s="20"/>
      <c r="I389" s="20"/>
      <c r="J389" s="15">
        <f t="shared" si="35"/>
        <v>0</v>
      </c>
      <c r="K389" s="15">
        <f t="shared" si="36"/>
        <v>0</v>
      </c>
      <c r="L389" s="16">
        <f t="shared" si="37"/>
        <v>0</v>
      </c>
      <c r="M389" s="17" t="str">
        <f t="shared" si="38"/>
        <v>-</v>
      </c>
      <c r="N389" s="92"/>
      <c r="O389" s="93"/>
    </row>
    <row r="390" spans="1:15">
      <c r="A390" s="18">
        <f t="shared" si="39"/>
        <v>376</v>
      </c>
      <c r="B390" s="19"/>
      <c r="C390" s="19"/>
      <c r="D390" s="19"/>
      <c r="E390" s="20"/>
      <c r="F390" s="20"/>
      <c r="G390" s="15">
        <f t="shared" si="34"/>
        <v>0</v>
      </c>
      <c r="H390" s="20"/>
      <c r="I390" s="20"/>
      <c r="J390" s="15">
        <f t="shared" si="35"/>
        <v>0</v>
      </c>
      <c r="K390" s="15">
        <f t="shared" si="36"/>
        <v>0</v>
      </c>
      <c r="L390" s="16">
        <f t="shared" si="37"/>
        <v>0</v>
      </c>
      <c r="M390" s="17" t="str">
        <f t="shared" si="38"/>
        <v>-</v>
      </c>
      <c r="N390" s="92"/>
      <c r="O390" s="93"/>
    </row>
    <row r="391" spans="1:15">
      <c r="A391" s="18">
        <f t="shared" si="39"/>
        <v>377</v>
      </c>
      <c r="B391" s="19"/>
      <c r="C391" s="19"/>
      <c r="D391" s="19"/>
      <c r="E391" s="20"/>
      <c r="F391" s="20"/>
      <c r="G391" s="15">
        <f t="shared" si="34"/>
        <v>0</v>
      </c>
      <c r="H391" s="20"/>
      <c r="I391" s="20"/>
      <c r="J391" s="15">
        <f t="shared" si="35"/>
        <v>0</v>
      </c>
      <c r="K391" s="15">
        <f t="shared" si="36"/>
        <v>0</v>
      </c>
      <c r="L391" s="16">
        <f t="shared" si="37"/>
        <v>0</v>
      </c>
      <c r="M391" s="17" t="str">
        <f t="shared" si="38"/>
        <v>-</v>
      </c>
      <c r="N391" s="92"/>
      <c r="O391" s="93"/>
    </row>
    <row r="392" spans="1:15">
      <c r="A392" s="18">
        <f t="shared" si="39"/>
        <v>378</v>
      </c>
      <c r="B392" s="19"/>
      <c r="C392" s="19"/>
      <c r="D392" s="19"/>
      <c r="E392" s="20"/>
      <c r="F392" s="20"/>
      <c r="G392" s="15">
        <f t="shared" si="34"/>
        <v>0</v>
      </c>
      <c r="H392" s="20"/>
      <c r="I392" s="20"/>
      <c r="J392" s="15">
        <f t="shared" si="35"/>
        <v>0</v>
      </c>
      <c r="K392" s="15">
        <f t="shared" si="36"/>
        <v>0</v>
      </c>
      <c r="L392" s="16">
        <f t="shared" si="37"/>
        <v>0</v>
      </c>
      <c r="M392" s="17" t="str">
        <f t="shared" si="38"/>
        <v>-</v>
      </c>
      <c r="N392" s="92"/>
      <c r="O392" s="93"/>
    </row>
    <row r="393" spans="1:15">
      <c r="A393" s="18">
        <f t="shared" si="39"/>
        <v>379</v>
      </c>
      <c r="B393" s="19"/>
      <c r="C393" s="19"/>
      <c r="D393" s="19"/>
      <c r="E393" s="20"/>
      <c r="F393" s="20"/>
      <c r="G393" s="15">
        <f t="shared" si="34"/>
        <v>0</v>
      </c>
      <c r="H393" s="20"/>
      <c r="I393" s="20"/>
      <c r="J393" s="15">
        <f t="shared" si="35"/>
        <v>0</v>
      </c>
      <c r="K393" s="15">
        <f t="shared" si="36"/>
        <v>0</v>
      </c>
      <c r="L393" s="16">
        <f t="shared" si="37"/>
        <v>0</v>
      </c>
      <c r="M393" s="17" t="str">
        <f t="shared" si="38"/>
        <v>-</v>
      </c>
      <c r="N393" s="92"/>
      <c r="O393" s="93"/>
    </row>
    <row r="394" spans="1:15">
      <c r="A394" s="18">
        <f t="shared" si="39"/>
        <v>380</v>
      </c>
      <c r="B394" s="19"/>
      <c r="C394" s="19"/>
      <c r="D394" s="19"/>
      <c r="E394" s="20"/>
      <c r="F394" s="20"/>
      <c r="G394" s="15">
        <f t="shared" si="34"/>
        <v>0</v>
      </c>
      <c r="H394" s="20"/>
      <c r="I394" s="20"/>
      <c r="J394" s="15">
        <f t="shared" si="35"/>
        <v>0</v>
      </c>
      <c r="K394" s="15">
        <f t="shared" si="36"/>
        <v>0</v>
      </c>
      <c r="L394" s="16">
        <f t="shared" si="37"/>
        <v>0</v>
      </c>
      <c r="M394" s="17" t="str">
        <f t="shared" si="38"/>
        <v>-</v>
      </c>
      <c r="N394" s="92"/>
      <c r="O394" s="93"/>
    </row>
    <row r="395" spans="1:15">
      <c r="A395" s="18">
        <f t="shared" si="39"/>
        <v>381</v>
      </c>
      <c r="B395" s="19"/>
      <c r="C395" s="19"/>
      <c r="D395" s="19"/>
      <c r="E395" s="20"/>
      <c r="F395" s="20"/>
      <c r="G395" s="15">
        <f t="shared" si="34"/>
        <v>0</v>
      </c>
      <c r="H395" s="20"/>
      <c r="I395" s="20"/>
      <c r="J395" s="15">
        <f t="shared" si="35"/>
        <v>0</v>
      </c>
      <c r="K395" s="15">
        <f t="shared" si="36"/>
        <v>0</v>
      </c>
      <c r="L395" s="16">
        <f t="shared" si="37"/>
        <v>0</v>
      </c>
      <c r="M395" s="17" t="str">
        <f t="shared" si="38"/>
        <v>-</v>
      </c>
      <c r="N395" s="92"/>
      <c r="O395" s="93"/>
    </row>
    <row r="396" spans="1:15">
      <c r="A396" s="18">
        <f t="shared" si="39"/>
        <v>382</v>
      </c>
      <c r="B396" s="19"/>
      <c r="C396" s="19"/>
      <c r="D396" s="19"/>
      <c r="E396" s="20"/>
      <c r="F396" s="20"/>
      <c r="G396" s="15">
        <f t="shared" si="34"/>
        <v>0</v>
      </c>
      <c r="H396" s="20"/>
      <c r="I396" s="20"/>
      <c r="J396" s="15">
        <f t="shared" si="35"/>
        <v>0</v>
      </c>
      <c r="K396" s="15">
        <f t="shared" si="36"/>
        <v>0</v>
      </c>
      <c r="L396" s="16">
        <f t="shared" si="37"/>
        <v>0</v>
      </c>
      <c r="M396" s="17" t="str">
        <f t="shared" si="38"/>
        <v>-</v>
      </c>
      <c r="N396" s="92"/>
      <c r="O396" s="93"/>
    </row>
    <row r="397" spans="1:15">
      <c r="A397" s="18">
        <v>383</v>
      </c>
      <c r="B397" s="73"/>
      <c r="C397" s="73"/>
      <c r="D397" s="73"/>
      <c r="E397" s="74"/>
      <c r="F397" s="74"/>
      <c r="G397" s="15">
        <f t="shared" si="34"/>
        <v>0</v>
      </c>
      <c r="H397" s="74"/>
      <c r="I397" s="74"/>
      <c r="J397" s="15">
        <f t="shared" si="35"/>
        <v>0</v>
      </c>
      <c r="K397" s="15">
        <f t="shared" si="36"/>
        <v>0</v>
      </c>
      <c r="L397" s="16">
        <f t="shared" si="37"/>
        <v>0</v>
      </c>
      <c r="M397" s="17" t="str">
        <f t="shared" si="38"/>
        <v>-</v>
      </c>
      <c r="N397" s="75"/>
      <c r="O397" s="76"/>
    </row>
    <row r="398" spans="1:15">
      <c r="A398" s="18">
        <v>384</v>
      </c>
      <c r="B398" s="73"/>
      <c r="C398" s="73"/>
      <c r="D398" s="73"/>
      <c r="E398" s="74"/>
      <c r="F398" s="74"/>
      <c r="G398" s="15">
        <f t="shared" si="34"/>
        <v>0</v>
      </c>
      <c r="H398" s="74"/>
      <c r="I398" s="74"/>
      <c r="J398" s="15">
        <f t="shared" si="35"/>
        <v>0</v>
      </c>
      <c r="K398" s="15">
        <f t="shared" si="36"/>
        <v>0</v>
      </c>
      <c r="L398" s="16">
        <f t="shared" si="37"/>
        <v>0</v>
      </c>
      <c r="M398" s="17" t="str">
        <f t="shared" si="38"/>
        <v>-</v>
      </c>
      <c r="N398" s="75"/>
      <c r="O398" s="76"/>
    </row>
    <row r="399" spans="1:15">
      <c r="A399" s="18">
        <v>385</v>
      </c>
      <c r="B399" s="73"/>
      <c r="C399" s="73"/>
      <c r="D399" s="73"/>
      <c r="E399" s="74"/>
      <c r="F399" s="74"/>
      <c r="G399" s="15">
        <f t="shared" si="34"/>
        <v>0</v>
      </c>
      <c r="H399" s="74"/>
      <c r="I399" s="74"/>
      <c r="J399" s="15">
        <f t="shared" si="35"/>
        <v>0</v>
      </c>
      <c r="K399" s="15">
        <f t="shared" si="36"/>
        <v>0</v>
      </c>
      <c r="L399" s="16">
        <f t="shared" si="37"/>
        <v>0</v>
      </c>
      <c r="M399" s="17" t="str">
        <f t="shared" si="38"/>
        <v>-</v>
      </c>
      <c r="N399" s="75"/>
      <c r="O399" s="76"/>
    </row>
    <row r="400" spans="1:15">
      <c r="A400" s="18">
        <v>386</v>
      </c>
      <c r="B400" s="73"/>
      <c r="C400" s="73"/>
      <c r="D400" s="73"/>
      <c r="E400" s="74"/>
      <c r="F400" s="74"/>
      <c r="G400" s="15">
        <f t="shared" si="34"/>
        <v>0</v>
      </c>
      <c r="H400" s="74"/>
      <c r="I400" s="74"/>
      <c r="J400" s="15">
        <f t="shared" ref="J400:J402" si="40">+E400-G400-H400</f>
        <v>0</v>
      </c>
      <c r="K400" s="15">
        <f t="shared" ref="K400:K402" si="41">+F400-I400</f>
        <v>0</v>
      </c>
      <c r="L400" s="16">
        <f t="shared" ref="L400:L402" si="42">IF(E400*1000-F400*$E$8=0,0,E400*1000-F400*$E$8)</f>
        <v>0</v>
      </c>
      <c r="M400" s="17" t="str">
        <f t="shared" ref="M400:M402" si="43">IF(F400=0,"-",L400/F400)</f>
        <v>-</v>
      </c>
      <c r="N400" s="75"/>
      <c r="O400" s="76"/>
    </row>
    <row r="401" spans="1:15">
      <c r="A401" s="18">
        <v>387</v>
      </c>
      <c r="B401" s="73"/>
      <c r="C401" s="73"/>
      <c r="D401" s="73"/>
      <c r="E401" s="74"/>
      <c r="F401" s="74"/>
      <c r="G401" s="15">
        <f t="shared" si="34"/>
        <v>0</v>
      </c>
      <c r="H401" s="74"/>
      <c r="I401" s="74"/>
      <c r="J401" s="15">
        <f t="shared" si="40"/>
        <v>0</v>
      </c>
      <c r="K401" s="15">
        <f t="shared" si="41"/>
        <v>0</v>
      </c>
      <c r="L401" s="16">
        <f t="shared" si="42"/>
        <v>0</v>
      </c>
      <c r="M401" s="17" t="str">
        <f t="shared" si="43"/>
        <v>-</v>
      </c>
      <c r="N401" s="75"/>
      <c r="O401" s="76"/>
    </row>
    <row r="402" spans="1:15">
      <c r="A402" s="18">
        <v>388</v>
      </c>
      <c r="B402" s="12"/>
      <c r="C402" s="12"/>
      <c r="D402" s="12"/>
      <c r="E402" s="21"/>
      <c r="F402" s="21"/>
      <c r="G402" s="21">
        <f t="shared" si="34"/>
        <v>0</v>
      </c>
      <c r="H402" s="21"/>
      <c r="I402" s="21"/>
      <c r="J402" s="15">
        <f t="shared" si="40"/>
        <v>0</v>
      </c>
      <c r="K402" s="15">
        <f t="shared" si="41"/>
        <v>0</v>
      </c>
      <c r="L402" s="16">
        <f t="shared" si="42"/>
        <v>0</v>
      </c>
      <c r="M402" s="17" t="str">
        <f t="shared" si="43"/>
        <v>-</v>
      </c>
      <c r="N402" s="126"/>
      <c r="O402" s="127"/>
    </row>
    <row r="403" spans="1:15">
      <c r="A403" s="42"/>
      <c r="B403" s="42"/>
      <c r="C403" s="42"/>
      <c r="D403" s="42"/>
      <c r="E403" s="43"/>
      <c r="F403" s="43"/>
      <c r="G403" s="43"/>
      <c r="H403" s="43"/>
      <c r="I403" s="43"/>
      <c r="J403" s="43"/>
      <c r="K403" s="43"/>
      <c r="L403" s="44"/>
      <c r="M403" s="44"/>
      <c r="N403" s="45"/>
      <c r="O403" s="45"/>
    </row>
    <row r="405" spans="1:15">
      <c r="B405" s="77"/>
      <c r="C405" s="77"/>
      <c r="D405" s="77"/>
      <c r="E405" s="77"/>
      <c r="K405" s="77"/>
      <c r="L405" s="77"/>
      <c r="M405" s="77"/>
      <c r="N405" s="77"/>
    </row>
    <row r="413" spans="1:15">
      <c r="B413" s="77" t="s">
        <v>38</v>
      </c>
      <c r="C413" s="77"/>
      <c r="D413" s="77"/>
      <c r="E413" s="77"/>
      <c r="K413" s="77" t="s">
        <v>39</v>
      </c>
      <c r="L413" s="77"/>
      <c r="M413" s="77"/>
      <c r="N413" s="77"/>
    </row>
  </sheetData>
  <mergeCells count="419">
    <mergeCell ref="N395:O395"/>
    <mergeCell ref="N396:O396"/>
    <mergeCell ref="N402:O402"/>
    <mergeCell ref="N390:O390"/>
    <mergeCell ref="N391:O391"/>
    <mergeCell ref="N392:O392"/>
    <mergeCell ref="N393:O393"/>
    <mergeCell ref="N394:O394"/>
    <mergeCell ref="N385:O385"/>
    <mergeCell ref="N386:O386"/>
    <mergeCell ref="N387:O387"/>
    <mergeCell ref="N388:O388"/>
    <mergeCell ref="N389:O389"/>
    <mergeCell ref="N380:O380"/>
    <mergeCell ref="N381:O381"/>
    <mergeCell ref="N382:O382"/>
    <mergeCell ref="N383:O383"/>
    <mergeCell ref="N384:O384"/>
    <mergeCell ref="N375:O375"/>
    <mergeCell ref="N376:O376"/>
    <mergeCell ref="N377:O377"/>
    <mergeCell ref="N378:O378"/>
    <mergeCell ref="N379:O379"/>
    <mergeCell ref="N370:O370"/>
    <mergeCell ref="N371:O371"/>
    <mergeCell ref="N372:O372"/>
    <mergeCell ref="N373:O373"/>
    <mergeCell ref="N374:O374"/>
    <mergeCell ref="N365:O365"/>
    <mergeCell ref="N366:O366"/>
    <mergeCell ref="N367:O367"/>
    <mergeCell ref="N368:O368"/>
    <mergeCell ref="N369:O369"/>
    <mergeCell ref="N360:O360"/>
    <mergeCell ref="N361:O361"/>
    <mergeCell ref="N362:O362"/>
    <mergeCell ref="N363:O363"/>
    <mergeCell ref="N364:O364"/>
    <mergeCell ref="N355:O355"/>
    <mergeCell ref="N356:O356"/>
    <mergeCell ref="N357:O357"/>
    <mergeCell ref="N358:O358"/>
    <mergeCell ref="N359:O359"/>
    <mergeCell ref="N350:O350"/>
    <mergeCell ref="N351:O351"/>
    <mergeCell ref="N352:O352"/>
    <mergeCell ref="N353:O353"/>
    <mergeCell ref="N354:O354"/>
    <mergeCell ref="N345:O345"/>
    <mergeCell ref="N346:O346"/>
    <mergeCell ref="N347:O347"/>
    <mergeCell ref="N348:O348"/>
    <mergeCell ref="N349:O349"/>
    <mergeCell ref="N340:O340"/>
    <mergeCell ref="N341:O341"/>
    <mergeCell ref="N342:O342"/>
    <mergeCell ref="N343:O343"/>
    <mergeCell ref="N344:O344"/>
    <mergeCell ref="N335:O335"/>
    <mergeCell ref="N336:O336"/>
    <mergeCell ref="N337:O337"/>
    <mergeCell ref="N338:O338"/>
    <mergeCell ref="N339:O339"/>
    <mergeCell ref="N330:O330"/>
    <mergeCell ref="N331:O331"/>
    <mergeCell ref="N332:O332"/>
    <mergeCell ref="N333:O333"/>
    <mergeCell ref="N334:O334"/>
    <mergeCell ref="N325:O325"/>
    <mergeCell ref="N326:O326"/>
    <mergeCell ref="N327:O327"/>
    <mergeCell ref="N328:O328"/>
    <mergeCell ref="N329:O329"/>
    <mergeCell ref="N320:O320"/>
    <mergeCell ref="N321:O321"/>
    <mergeCell ref="N322:O322"/>
    <mergeCell ref="N323:O323"/>
    <mergeCell ref="N324:O324"/>
    <mergeCell ref="N315:O315"/>
    <mergeCell ref="N316:O316"/>
    <mergeCell ref="N317:O317"/>
    <mergeCell ref="N318:O318"/>
    <mergeCell ref="N319:O319"/>
    <mergeCell ref="N310:O310"/>
    <mergeCell ref="N311:O311"/>
    <mergeCell ref="N312:O312"/>
    <mergeCell ref="N313:O313"/>
    <mergeCell ref="N314:O314"/>
    <mergeCell ref="N305:O305"/>
    <mergeCell ref="N306:O306"/>
    <mergeCell ref="N307:O307"/>
    <mergeCell ref="N308:O308"/>
    <mergeCell ref="N309:O309"/>
    <mergeCell ref="N300:O300"/>
    <mergeCell ref="N301:O301"/>
    <mergeCell ref="N302:O302"/>
    <mergeCell ref="N303:O303"/>
    <mergeCell ref="N304:O304"/>
    <mergeCell ref="N295:O295"/>
    <mergeCell ref="N296:O296"/>
    <mergeCell ref="N297:O297"/>
    <mergeCell ref="N298:O298"/>
    <mergeCell ref="N299:O299"/>
    <mergeCell ref="N290:O290"/>
    <mergeCell ref="N291:O291"/>
    <mergeCell ref="N292:O292"/>
    <mergeCell ref="N293:O293"/>
    <mergeCell ref="N294:O294"/>
    <mergeCell ref="N285:O285"/>
    <mergeCell ref="N286:O286"/>
    <mergeCell ref="N287:O287"/>
    <mergeCell ref="N288:O288"/>
    <mergeCell ref="N289:O289"/>
    <mergeCell ref="N280:O280"/>
    <mergeCell ref="N281:O281"/>
    <mergeCell ref="N282:O282"/>
    <mergeCell ref="N283:O283"/>
    <mergeCell ref="N284:O284"/>
    <mergeCell ref="N275:O275"/>
    <mergeCell ref="N276:O276"/>
    <mergeCell ref="N277:O277"/>
    <mergeCell ref="N278:O278"/>
    <mergeCell ref="N279:O279"/>
    <mergeCell ref="N270:O270"/>
    <mergeCell ref="N271:O271"/>
    <mergeCell ref="N272:O272"/>
    <mergeCell ref="N273:O273"/>
    <mergeCell ref="N274:O274"/>
    <mergeCell ref="N265:O265"/>
    <mergeCell ref="N266:O266"/>
    <mergeCell ref="N267:O267"/>
    <mergeCell ref="N268:O268"/>
    <mergeCell ref="N269:O269"/>
    <mergeCell ref="N260:O260"/>
    <mergeCell ref="N261:O261"/>
    <mergeCell ref="N262:O262"/>
    <mergeCell ref="N263:O263"/>
    <mergeCell ref="N264:O264"/>
    <mergeCell ref="N255:O255"/>
    <mergeCell ref="N256:O256"/>
    <mergeCell ref="N257:O257"/>
    <mergeCell ref="N258:O258"/>
    <mergeCell ref="N259:O259"/>
    <mergeCell ref="N250:O250"/>
    <mergeCell ref="N251:O251"/>
    <mergeCell ref="N252:O252"/>
    <mergeCell ref="N253:O253"/>
    <mergeCell ref="N254:O254"/>
    <mergeCell ref="N245:O245"/>
    <mergeCell ref="N246:O246"/>
    <mergeCell ref="N247:O247"/>
    <mergeCell ref="N248:O248"/>
    <mergeCell ref="N249:O249"/>
    <mergeCell ref="N240:O240"/>
    <mergeCell ref="N241:O241"/>
    <mergeCell ref="N242:O242"/>
    <mergeCell ref="N243:O243"/>
    <mergeCell ref="N244:O244"/>
    <mergeCell ref="N235:O235"/>
    <mergeCell ref="N236:O236"/>
    <mergeCell ref="N237:O237"/>
    <mergeCell ref="N238:O238"/>
    <mergeCell ref="N239:O239"/>
    <mergeCell ref="N230:O230"/>
    <mergeCell ref="N231:O231"/>
    <mergeCell ref="N232:O232"/>
    <mergeCell ref="N233:O233"/>
    <mergeCell ref="N234:O234"/>
    <mergeCell ref="N225:O225"/>
    <mergeCell ref="N226:O226"/>
    <mergeCell ref="N227:O227"/>
    <mergeCell ref="N228:O228"/>
    <mergeCell ref="N229:O229"/>
    <mergeCell ref="N220:O220"/>
    <mergeCell ref="N221:O221"/>
    <mergeCell ref="N222:O222"/>
    <mergeCell ref="N223:O223"/>
    <mergeCell ref="N224:O224"/>
    <mergeCell ref="N215:O215"/>
    <mergeCell ref="N216:O216"/>
    <mergeCell ref="N217:O217"/>
    <mergeCell ref="N218:O218"/>
    <mergeCell ref="N219:O219"/>
    <mergeCell ref="N210:O210"/>
    <mergeCell ref="N211:O211"/>
    <mergeCell ref="N212:O212"/>
    <mergeCell ref="N213:O213"/>
    <mergeCell ref="N214:O214"/>
    <mergeCell ref="N205:O205"/>
    <mergeCell ref="N206:O206"/>
    <mergeCell ref="N207:O207"/>
    <mergeCell ref="N208:O208"/>
    <mergeCell ref="N209:O209"/>
    <mergeCell ref="N200:O200"/>
    <mergeCell ref="N201:O201"/>
    <mergeCell ref="N202:O202"/>
    <mergeCell ref="N203:O203"/>
    <mergeCell ref="N204:O204"/>
    <mergeCell ref="N195:O195"/>
    <mergeCell ref="N196:O196"/>
    <mergeCell ref="N197:O197"/>
    <mergeCell ref="N198:O198"/>
    <mergeCell ref="N199:O199"/>
    <mergeCell ref="N190:O190"/>
    <mergeCell ref="N191:O191"/>
    <mergeCell ref="N192:O192"/>
    <mergeCell ref="N193:O193"/>
    <mergeCell ref="N194:O194"/>
    <mergeCell ref="N185:O185"/>
    <mergeCell ref="N186:O186"/>
    <mergeCell ref="N187:O187"/>
    <mergeCell ref="N188:O188"/>
    <mergeCell ref="N189:O189"/>
    <mergeCell ref="N180:O180"/>
    <mergeCell ref="N181:O181"/>
    <mergeCell ref="N182:O182"/>
    <mergeCell ref="N183:O183"/>
    <mergeCell ref="N184:O184"/>
    <mergeCell ref="N175:O175"/>
    <mergeCell ref="N176:O176"/>
    <mergeCell ref="N177:O177"/>
    <mergeCell ref="N178:O178"/>
    <mergeCell ref="N179:O179"/>
    <mergeCell ref="N170:O170"/>
    <mergeCell ref="N171:O171"/>
    <mergeCell ref="N172:O172"/>
    <mergeCell ref="N173:O173"/>
    <mergeCell ref="N174:O174"/>
    <mergeCell ref="N165:O165"/>
    <mergeCell ref="N166:O166"/>
    <mergeCell ref="N167:O167"/>
    <mergeCell ref="N168:O168"/>
    <mergeCell ref="N169:O169"/>
    <mergeCell ref="N160:O160"/>
    <mergeCell ref="N161:O161"/>
    <mergeCell ref="N162:O162"/>
    <mergeCell ref="N163:O163"/>
    <mergeCell ref="N164:O164"/>
    <mergeCell ref="N155:O155"/>
    <mergeCell ref="N156:O156"/>
    <mergeCell ref="N157:O157"/>
    <mergeCell ref="N158:O158"/>
    <mergeCell ref="N159:O159"/>
    <mergeCell ref="N150:O150"/>
    <mergeCell ref="N151:O151"/>
    <mergeCell ref="N152:O152"/>
    <mergeCell ref="N153:O153"/>
    <mergeCell ref="N154:O154"/>
    <mergeCell ref="N145:O145"/>
    <mergeCell ref="N146:O146"/>
    <mergeCell ref="N147:O147"/>
    <mergeCell ref="N148:O148"/>
    <mergeCell ref="N149:O149"/>
    <mergeCell ref="N140:O140"/>
    <mergeCell ref="N141:O141"/>
    <mergeCell ref="N142:O142"/>
    <mergeCell ref="N143:O143"/>
    <mergeCell ref="N144:O144"/>
    <mergeCell ref="N135:O135"/>
    <mergeCell ref="N136:O136"/>
    <mergeCell ref="N137:O137"/>
    <mergeCell ref="N138:O138"/>
    <mergeCell ref="N139:O139"/>
    <mergeCell ref="N130:O130"/>
    <mergeCell ref="N131:O131"/>
    <mergeCell ref="N132:O132"/>
    <mergeCell ref="N133:O133"/>
    <mergeCell ref="N134:O134"/>
    <mergeCell ref="N125:O125"/>
    <mergeCell ref="N126:O126"/>
    <mergeCell ref="N127:O127"/>
    <mergeCell ref="N128:O128"/>
    <mergeCell ref="N129:O129"/>
    <mergeCell ref="N120:O120"/>
    <mergeCell ref="N121:O121"/>
    <mergeCell ref="N122:O122"/>
    <mergeCell ref="N123:O123"/>
    <mergeCell ref="N124:O124"/>
    <mergeCell ref="N115:O115"/>
    <mergeCell ref="N116:O116"/>
    <mergeCell ref="N117:O117"/>
    <mergeCell ref="N118:O118"/>
    <mergeCell ref="N119:O119"/>
    <mergeCell ref="N110:O110"/>
    <mergeCell ref="N111:O111"/>
    <mergeCell ref="N112:O112"/>
    <mergeCell ref="N113:O113"/>
    <mergeCell ref="N114:O114"/>
    <mergeCell ref="N105:O105"/>
    <mergeCell ref="N106:O106"/>
    <mergeCell ref="N107:O107"/>
    <mergeCell ref="N108:O108"/>
    <mergeCell ref="N109:O109"/>
    <mergeCell ref="N100:O100"/>
    <mergeCell ref="N101:O101"/>
    <mergeCell ref="N102:O102"/>
    <mergeCell ref="N103:O103"/>
    <mergeCell ref="N104:O104"/>
    <mergeCell ref="N95:O95"/>
    <mergeCell ref="N96:O96"/>
    <mergeCell ref="N97:O97"/>
    <mergeCell ref="N98:O98"/>
    <mergeCell ref="N99:O99"/>
    <mergeCell ref="N90:O90"/>
    <mergeCell ref="N91:O91"/>
    <mergeCell ref="N92:O92"/>
    <mergeCell ref="N93:O93"/>
    <mergeCell ref="N94:O94"/>
    <mergeCell ref="N85:O85"/>
    <mergeCell ref="N86:O86"/>
    <mergeCell ref="N87:O87"/>
    <mergeCell ref="N88:O88"/>
    <mergeCell ref="N89:O89"/>
    <mergeCell ref="N80:O80"/>
    <mergeCell ref="N81:O81"/>
    <mergeCell ref="N82:O82"/>
    <mergeCell ref="N83:O83"/>
    <mergeCell ref="N84:O84"/>
    <mergeCell ref="N75:O75"/>
    <mergeCell ref="N76:O76"/>
    <mergeCell ref="N77:O77"/>
    <mergeCell ref="N78:O78"/>
    <mergeCell ref="N79:O79"/>
    <mergeCell ref="N70:O70"/>
    <mergeCell ref="N71:O71"/>
    <mergeCell ref="N72:O72"/>
    <mergeCell ref="N73:O73"/>
    <mergeCell ref="N74:O74"/>
    <mergeCell ref="N65:O65"/>
    <mergeCell ref="N66:O66"/>
    <mergeCell ref="N67:O67"/>
    <mergeCell ref="N68:O68"/>
    <mergeCell ref="N69:O69"/>
    <mergeCell ref="N60:O60"/>
    <mergeCell ref="N61:O61"/>
    <mergeCell ref="N62:O62"/>
    <mergeCell ref="N63:O63"/>
    <mergeCell ref="N64:O64"/>
    <mergeCell ref="N55:O55"/>
    <mergeCell ref="N56:O56"/>
    <mergeCell ref="N57:O57"/>
    <mergeCell ref="N58:O58"/>
    <mergeCell ref="N59:O59"/>
    <mergeCell ref="N50:O50"/>
    <mergeCell ref="N51:O51"/>
    <mergeCell ref="N52:O52"/>
    <mergeCell ref="N53:O53"/>
    <mergeCell ref="N54:O54"/>
    <mergeCell ref="N45:O45"/>
    <mergeCell ref="N46:O46"/>
    <mergeCell ref="N47:O47"/>
    <mergeCell ref="N48:O48"/>
    <mergeCell ref="N49:O49"/>
    <mergeCell ref="N27:O27"/>
    <mergeCell ref="N28:O28"/>
    <mergeCell ref="N29:O29"/>
    <mergeCell ref="N40:O40"/>
    <mergeCell ref="N41:O41"/>
    <mergeCell ref="N42:O42"/>
    <mergeCell ref="N43:O43"/>
    <mergeCell ref="N44:O44"/>
    <mergeCell ref="N35:O35"/>
    <mergeCell ref="N36:O36"/>
    <mergeCell ref="N37:O37"/>
    <mergeCell ref="N38:O38"/>
    <mergeCell ref="N39:O39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A10:B10"/>
    <mergeCell ref="R7:R9"/>
    <mergeCell ref="Q10:R10"/>
    <mergeCell ref="Q2:U2"/>
    <mergeCell ref="Q4:Q6"/>
    <mergeCell ref="R4:R6"/>
    <mergeCell ref="S4:S6"/>
    <mergeCell ref="T4:T6"/>
    <mergeCell ref="U4:U6"/>
    <mergeCell ref="A9:D9"/>
    <mergeCell ref="C10:D10"/>
    <mergeCell ref="N9:O9"/>
    <mergeCell ref="E9:F9"/>
    <mergeCell ref="J9:K9"/>
    <mergeCell ref="L9:M9"/>
    <mergeCell ref="A2:N2"/>
    <mergeCell ref="H9:I9"/>
    <mergeCell ref="E6:F6"/>
    <mergeCell ref="E7:F7"/>
    <mergeCell ref="E8:F8"/>
    <mergeCell ref="B405:E405"/>
    <mergeCell ref="K405:N405"/>
    <mergeCell ref="B413:E413"/>
    <mergeCell ref="K413:N413"/>
    <mergeCell ref="H13:I13"/>
    <mergeCell ref="A11:B11"/>
    <mergeCell ref="L13:M13"/>
    <mergeCell ref="J13:K13"/>
    <mergeCell ref="G13:G14"/>
    <mergeCell ref="C11:D11"/>
    <mergeCell ref="N13:O14"/>
    <mergeCell ref="A13:A14"/>
    <mergeCell ref="B13:B14"/>
    <mergeCell ref="C13:C14"/>
    <mergeCell ref="D13:D14"/>
    <mergeCell ref="E13:F13"/>
    <mergeCell ref="N30:O30"/>
    <mergeCell ref="N31:O31"/>
    <mergeCell ref="N32:O32"/>
    <mergeCell ref="N33:O33"/>
    <mergeCell ref="N34:O34"/>
    <mergeCell ref="N15:O15"/>
    <mergeCell ref="N16:O16"/>
    <mergeCell ref="N17:O17"/>
  </mergeCells>
  <conditionalFormatting sqref="R4:R6">
    <cfRule type="iconSet" priority="1">
      <iconSet iconSet="3Signs">
        <cfvo type="percent" val="0"/>
        <cfvo type="num" val="0"/>
        <cfvo type="num" val="0"/>
      </iconSet>
    </cfRule>
  </conditionalFormatting>
  <printOptions horizontalCentered="1"/>
  <pageMargins left="0.51" right="0.2" top="0.46" bottom="0.75" header="0.3" footer="0.3"/>
  <pageSetup paperSize="9" scale="75" orientation="portrait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183192- Nguyễn Văn Nho</cp:lastModifiedBy>
  <cp:lastPrinted>2025-05-20T08:52:59Z</cp:lastPrinted>
  <dcterms:created xsi:type="dcterms:W3CDTF">2021-05-20T02:30:48Z</dcterms:created>
  <dcterms:modified xsi:type="dcterms:W3CDTF">2026-06-22T01:52:02Z</dcterms:modified>
</cp:coreProperties>
</file>